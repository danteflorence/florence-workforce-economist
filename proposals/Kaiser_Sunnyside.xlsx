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KAISER SUNNYSIDE MEDICAL CENTER</t>
        </is>
      </c>
    </row>
    <row r="2">
      <c r="A2" s="2" t="inlineStr">
        <is>
          <t>Scope: CLACKAMAS, OR · CCN 380091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1285.2918</v>
      </c>
    </row>
    <row r="6">
      <c r="A6" s="6" t="inlineStr">
        <is>
          <t>②  Employer FICA Savings / RN/mo</t>
        </is>
      </c>
      <c r="B6" s="7" t="n">
        <v>642.6459</v>
      </c>
    </row>
    <row r="7">
      <c r="A7" s="6" t="inlineStr">
        <is>
          <t>③  FICA-Adjusted Effective Cost / RN/mo</t>
        </is>
      </c>
      <c r="B7" s="7" t="n">
        <v>642.6459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13326.4482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419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1285.2918</v>
      </c>
    </row>
    <row r="26">
      <c r="A26" s="6" t="inlineStr">
        <is>
          <t>− Employer FICA Offset</t>
        </is>
      </c>
      <c r="B26" s="12" t="n">
        <v>-642.6459</v>
      </c>
    </row>
    <row r="27">
      <c r="A27" s="6">
        <f> FICA-Adjusted Effective Cost</f>
        <v/>
      </c>
      <c r="B27" s="12" t="n">
        <v>642.6459</v>
      </c>
    </row>
    <row r="28">
      <c r="A28" s="6" t="inlineStr">
        <is>
          <t>+ Agency Premium Avoided</t>
        </is>
      </c>
      <c r="B28" s="12" t="n">
        <v>13967.44485394202</v>
      </c>
    </row>
    <row r="29">
      <c r="A29" s="6">
        <f> Net Monthly Savings per RN</f>
        <v/>
      </c>
      <c r="B29" s="13" t="n">
        <v>13326.4482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538088.1403615848</v>
      </c>
    </row>
    <row r="34">
      <c r="A34" s="6" t="inlineStr">
        <is>
          <t>Total monthly FICA offset to hospitals</t>
        </is>
      </c>
      <c r="B34" s="14" t="n">
        <v>269044.0701807924</v>
      </c>
    </row>
    <row r="35">
      <c r="A35" s="6" t="inlineStr">
        <is>
          <t>Total monthly FICA-adjusted effective cost</t>
        </is>
      </c>
      <c r="B35" s="14" t="n">
        <v>269044.0701807924</v>
      </c>
    </row>
    <row r="36">
      <c r="A36" s="6" t="inlineStr">
        <is>
          <t>Total monthly agency premium avoided</t>
        </is>
      </c>
      <c r="B36" s="14" t="n">
        <v>5848169.160345525</v>
      </c>
    </row>
    <row r="37">
      <c r="A37" s="6" t="inlineStr">
        <is>
          <t>Total monthly net hospital savings</t>
        </is>
      </c>
      <c r="B37" s="14" t="n">
        <v>5579125.090164731</v>
      </c>
    </row>
    <row r="38">
      <c r="A38" s="6" t="inlineStr">
        <is>
          <t>Term (24mo) Florence fee</t>
        </is>
      </c>
      <c r="B38" s="14" t="n">
        <v>12914115.36867804</v>
      </c>
    </row>
    <row r="39">
      <c r="A39" s="6" t="inlineStr">
        <is>
          <t>Term (24mo) Hospital net savings</t>
        </is>
      </c>
      <c r="B39" s="14" t="n">
        <v>133899002.1639536</v>
      </c>
    </row>
    <row r="40">
      <c r="A40" s="6" t="inlineStr">
        <is>
          <t>Savings : Fee ratio</t>
        </is>
      </c>
      <c r="B40" s="15" t="n">
        <v>10.36842233024439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135232.3908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135232.3908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8384.4082296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1960.8696666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10345.2778962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862.1064913499999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380091</t>
        </is>
      </c>
      <c r="B2" t="inlineStr">
        <is>
          <t>KAISER SUNNYSIDE MEDICAL CENTER</t>
        </is>
      </c>
      <c r="C2" t="inlineStr">
        <is>
          <t>CLACKAMAS</t>
        </is>
      </c>
      <c r="D2" t="inlineStr">
        <is>
          <t>OR</t>
        </is>
      </c>
      <c r="E2" t="inlineStr">
        <is>
          <t>Kaiser Permanente</t>
        </is>
      </c>
      <c r="F2" s="22" t="n">
        <v>418.7</v>
      </c>
      <c r="G2" s="23" t="n">
        <v>72.239525</v>
      </c>
      <c r="H2" s="23" t="n">
        <v>161.785</v>
      </c>
      <c r="I2" s="23" t="n">
        <v>89.545475</v>
      </c>
      <c r="J2" s="24" t="n">
        <v>1285.2918</v>
      </c>
      <c r="K2" s="24" t="n">
        <v>642.6459</v>
      </c>
      <c r="L2" s="24" t="n">
        <v>642.6459</v>
      </c>
      <c r="M2" s="25" t="n">
        <v>0.5</v>
      </c>
      <c r="N2" s="24" t="n">
        <v>13969.0941</v>
      </c>
      <c r="O2" s="24" t="n">
        <v>13326.4482</v>
      </c>
      <c r="P2" s="24" t="n">
        <v>538088.1403615848</v>
      </c>
      <c r="Q2" s="24" t="n">
        <v>269044.0701807924</v>
      </c>
      <c r="R2" s="24" t="n">
        <v>5579125.090164731</v>
      </c>
      <c r="S2" s="24" t="n">
        <v>12914115.36867804</v>
      </c>
      <c r="T2" s="24" t="n">
        <v>133899002.1639536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1071.0765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803.307375</v>
      </c>
      <c r="D5" s="24" t="n">
        <v>1606.61475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1285.2918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1071.0765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856.8611999999999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OR</t>
        </is>
      </c>
      <c r="B4" t="n">
        <v>1</v>
      </c>
      <c r="C4" s="23" t="n">
        <v>72.239525</v>
      </c>
      <c r="D4" s="23" t="n">
        <v>161.785</v>
      </c>
      <c r="E4" s="23" t="n">
        <v>89.545475</v>
      </c>
      <c r="F4" s="24" t="n">
        <v>1285.2918</v>
      </c>
      <c r="G4" s="24" t="n">
        <v>642.6459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380091</t>
        </is>
      </c>
      <c r="B2" t="inlineStr">
        <is>
          <t>KAISER SUNNYSIDE MEDICAL CENTER</t>
        </is>
      </c>
      <c r="C2" t="inlineStr">
        <is>
          <t>CLACKAMAS</t>
        </is>
      </c>
      <c r="D2" t="inlineStr">
        <is>
          <t>OR</t>
        </is>
      </c>
      <c r="E2" t="inlineStr">
        <is>
          <t>CLACKAMAS</t>
        </is>
      </c>
      <c r="F2" t="inlineStr">
        <is>
          <t>Acute Care Hospitals</t>
        </is>
      </c>
      <c r="G2" t="inlineStr">
        <is>
          <t>Voluntary non-profit - Other</t>
        </is>
      </c>
      <c r="H2" s="24" t="n">
        <v>1720</v>
      </c>
      <c r="I2" s="24" t="n">
        <v>176101593</v>
      </c>
      <c r="J2" s="25" t="n">
        <v>0.4509</v>
      </c>
      <c r="K2" t="inlineStr"/>
      <c r="L2" s="24" t="n">
        <v>418.7</v>
      </c>
      <c r="M2" s="24" t="n">
        <v>72.239525</v>
      </c>
      <c r="N2" s="24" t="n">
        <v>161.785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SUNNYSIDE MEDICAL CENTER</t>
        </is>
      </c>
    </row>
    <row r="4">
      <c r="A4" s="6" t="inlineStr">
        <is>
          <t>Scope</t>
        </is>
      </c>
      <c r="B4" s="29" t="inlineStr">
        <is>
          <t>CLACKAMAS, OR · CCN 380091</t>
        </is>
      </c>
    </row>
    <row r="5">
      <c r="A5" s="6" t="inlineStr">
        <is>
          <t>Generated at</t>
        </is>
      </c>
      <c r="B5" s="29" t="inlineStr">
        <is>
          <t>2026-05-28T00:55:21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2026-05-28T07:55:21Z</dcterms:created>
  <dcterms:modified xsi:type="dcterms:W3CDTF">2026-05-28T07:55:21Z</dcterms:modified>
</cp:coreProperties>
</file>