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CHILDREN'S HOSPITAL COLORADO</t>
        </is>
      </c>
    </row>
    <row r="2">
      <c r="A2" s="2" t="inlineStr">
        <is>
          <t>Scope: AURORA, CO · CCN 063301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1102.7016</v>
      </c>
    </row>
    <row r="6">
      <c r="A6" s="6" t="inlineStr">
        <is>
          <t>②  Employer FICA Savings / RN/mo</t>
        </is>
      </c>
      <c r="B6" s="7" t="n">
        <v>551.3508</v>
      </c>
    </row>
    <row r="7">
      <c r="A7" s="6" t="inlineStr">
        <is>
          <t>③  FICA-Adjusted Effective Cost / RN/mo</t>
        </is>
      </c>
      <c r="B7" s="7" t="n">
        <v>551.3508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9051.338400000001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1801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1102.7016</v>
      </c>
    </row>
    <row r="26">
      <c r="A26" s="6" t="inlineStr">
        <is>
          <t>− Employer FICA Offset</t>
        </is>
      </c>
      <c r="B26" s="12" t="n">
        <v>-551.3508</v>
      </c>
    </row>
    <row r="27">
      <c r="A27" s="6">
        <f> FICA-Adjusted Effective Cost</f>
        <v/>
      </c>
      <c r="B27" s="12" t="n">
        <v>551.3508</v>
      </c>
    </row>
    <row r="28">
      <c r="A28" s="6" t="inlineStr">
        <is>
          <t>+ Agency Premium Avoided</t>
        </is>
      </c>
      <c r="B28" s="12" t="n">
        <v>9602.689200000003</v>
      </c>
    </row>
    <row r="29">
      <c r="A29" s="6">
        <f> Net Monthly Savings per RN</f>
        <v/>
      </c>
      <c r="B29" s="13" t="n">
        <v>9051.338400000001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1986406.66224</v>
      </c>
    </row>
    <row r="34">
      <c r="A34" s="6" t="inlineStr">
        <is>
          <t>Total monthly FICA offset to hospitals</t>
        </is>
      </c>
      <c r="B34" s="14" t="n">
        <v>993203.3311200001</v>
      </c>
    </row>
    <row r="35">
      <c r="A35" s="6" t="inlineStr">
        <is>
          <t>Total monthly FICA-adjusted effective cost</t>
        </is>
      </c>
      <c r="B35" s="14" t="n">
        <v>993203.3311200001</v>
      </c>
    </row>
    <row r="36">
      <c r="A36" s="6" t="inlineStr">
        <is>
          <t>Total monthly agency premium avoided</t>
        </is>
      </c>
      <c r="B36" s="14" t="n">
        <v>17298284.32488</v>
      </c>
    </row>
    <row r="37">
      <c r="A37" s="6" t="inlineStr">
        <is>
          <t>Total monthly net hospital savings</t>
        </is>
      </c>
      <c r="B37" s="14" t="n">
        <v>16305080.99376</v>
      </c>
    </row>
    <row r="38">
      <c r="A38" s="6" t="inlineStr">
        <is>
          <t>Term (24mo) Florence fee</t>
        </is>
      </c>
      <c r="B38" s="14" t="n">
        <v>47673759.89376</v>
      </c>
    </row>
    <row r="39">
      <c r="A39" s="6" t="inlineStr">
        <is>
          <t>Term (24mo) Hospital net savings</t>
        </is>
      </c>
      <c r="B39" s="14" t="n">
        <v>391321943.8502401</v>
      </c>
    </row>
    <row r="40">
      <c r="A40" s="6" t="inlineStr">
        <is>
          <t>Savings : Fee ratio</t>
        </is>
      </c>
      <c r="B40" s="15" t="n">
        <v>8.208329796565092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119048.5296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119048.5296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7381.0088352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1726.2036792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9107.2125144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758.9343762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063301</t>
        </is>
      </c>
      <c r="B2" t="inlineStr">
        <is>
          <t>CHILDREN'S HOSPITAL COLORADO</t>
        </is>
      </c>
      <c r="C2" t="inlineStr">
        <is>
          <t>AURORA</t>
        </is>
      </c>
      <c r="D2" t="inlineStr">
        <is>
          <t>CO</t>
        </is>
      </c>
      <c r="E2" t="inlineStr">
        <is>
          <t>Independent / Unknown</t>
        </is>
      </c>
      <c r="F2" s="22" t="n">
        <v>1801.4</v>
      </c>
      <c r="G2" s="23" t="n">
        <v>63.5943</v>
      </c>
      <c r="H2" s="23" t="n">
        <v>125.15</v>
      </c>
      <c r="I2" s="23" t="n">
        <v>61.5557</v>
      </c>
      <c r="J2" s="24" t="n">
        <v>1102.7016</v>
      </c>
      <c r="K2" s="24" t="n">
        <v>551.3508</v>
      </c>
      <c r="L2" s="24" t="n">
        <v>551.3508</v>
      </c>
      <c r="M2" s="25" t="n">
        <v>0.5</v>
      </c>
      <c r="N2" s="24" t="n">
        <v>9602.689200000001</v>
      </c>
      <c r="O2" s="24" t="n">
        <v>9051.338400000001</v>
      </c>
      <c r="P2" s="24" t="n">
        <v>1986406.66224</v>
      </c>
      <c r="Q2" s="24" t="n">
        <v>993203.3311200001</v>
      </c>
      <c r="R2" s="24" t="n">
        <v>16305080.99376</v>
      </c>
      <c r="S2" s="24" t="n">
        <v>47673759.89376</v>
      </c>
      <c r="T2" s="24" t="n">
        <v>391321943.8502401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918.9180000000001</v>
      </c>
      <c r="D4" s="24" t="n">
        <v>1837.836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1378.377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1102.7016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918.9180000000001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CO</t>
        </is>
      </c>
      <c r="B4" t="n">
        <v>1</v>
      </c>
      <c r="C4" s="23" t="n">
        <v>63.5943</v>
      </c>
      <c r="D4" s="23" t="n">
        <v>125.15</v>
      </c>
      <c r="E4" s="23" t="n">
        <v>61.5557</v>
      </c>
      <c r="F4" s="24" t="n">
        <v>1102.7016</v>
      </c>
      <c r="G4" s="24" t="n">
        <v>551.3508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063301</t>
        </is>
      </c>
      <c r="B2" t="inlineStr">
        <is>
          <t>CHILDREN'S HOSPITAL COLORADO</t>
        </is>
      </c>
      <c r="C2" t="inlineStr">
        <is>
          <t>AURORA</t>
        </is>
      </c>
      <c r="D2" t="inlineStr">
        <is>
          <t>CO</t>
        </is>
      </c>
      <c r="E2" t="inlineStr">
        <is>
          <t>ADAMS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6672</v>
      </c>
      <c r="I2" t="inlineStr"/>
      <c r="J2" t="inlineStr"/>
      <c r="K2" s="25" t="n">
        <v>0.1528</v>
      </c>
      <c r="L2" s="24" t="n">
        <v>1801.4</v>
      </c>
      <c r="M2" s="24" t="n">
        <v>63.5943</v>
      </c>
      <c r="N2" s="24" t="n">
        <v>125.15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CHILDREN'S HOSPITAL COLORADO</t>
        </is>
      </c>
    </row>
    <row r="4">
      <c r="A4" s="6" t="inlineStr">
        <is>
          <t>Scope</t>
        </is>
      </c>
      <c r="B4" s="29" t="inlineStr">
        <is>
          <t>AURORA, CO · CCN 063301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