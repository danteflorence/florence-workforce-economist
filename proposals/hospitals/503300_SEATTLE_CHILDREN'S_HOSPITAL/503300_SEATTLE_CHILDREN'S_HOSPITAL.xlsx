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SEATTLE CHILDREN'S HOSPITAL</t>
        </is>
      </c>
    </row>
    <row r="2">
      <c r="A2" s="2" t="inlineStr">
        <is>
          <t>Scope: SEATTLE, WA · CCN 503300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1467.882</v>
      </c>
    </row>
    <row r="6">
      <c r="A6" s="6" t="inlineStr">
        <is>
          <t>②  Employer FICA Savings / RN/mo</t>
        </is>
      </c>
      <c r="B6" s="7" t="n">
        <v>733.9409999999999</v>
      </c>
    </row>
    <row r="7">
      <c r="A7" s="6" t="inlineStr">
        <is>
          <t>③  FICA-Adjusted Effective Cost / RN/mo</t>
        </is>
      </c>
      <c r="B7" s="7" t="n">
        <v>733.9409999999999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11051.118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2672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1467.882</v>
      </c>
    </row>
    <row r="26">
      <c r="A26" s="6" t="inlineStr">
        <is>
          <t>− Employer FICA Offset</t>
        </is>
      </c>
      <c r="B26" s="12" t="n">
        <v>-733.9409999999999</v>
      </c>
    </row>
    <row r="27">
      <c r="A27" s="6">
        <f> FICA-Adjusted Effective Cost</f>
        <v/>
      </c>
      <c r="B27" s="12" t="n">
        <v>733.9409999999999</v>
      </c>
    </row>
    <row r="28">
      <c r="A28" s="6" t="inlineStr">
        <is>
          <t>+ Agency Premium Avoided</t>
        </is>
      </c>
      <c r="B28" s="12" t="n">
        <v>11785.059</v>
      </c>
    </row>
    <row r="29">
      <c r="A29" s="6">
        <f> Net Monthly Savings per RN</f>
        <v/>
      </c>
      <c r="B29" s="13" t="n">
        <v>11051.118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3922914.645</v>
      </c>
    </row>
    <row r="34">
      <c r="A34" s="6" t="inlineStr">
        <is>
          <t>Total monthly FICA offset to hospitals</t>
        </is>
      </c>
      <c r="B34" s="14" t="n">
        <v>1961457.3225</v>
      </c>
    </row>
    <row r="35">
      <c r="A35" s="6" t="inlineStr">
        <is>
          <t>Total monthly FICA-adjusted effective cost</t>
        </is>
      </c>
      <c r="B35" s="14" t="n">
        <v>1961457.3225</v>
      </c>
    </row>
    <row r="36">
      <c r="A36" s="6" t="inlineStr">
        <is>
          <t>Total monthly agency premium avoided</t>
        </is>
      </c>
      <c r="B36" s="14" t="n">
        <v>31495570.17749999</v>
      </c>
    </row>
    <row r="37">
      <c r="A37" s="6" t="inlineStr">
        <is>
          <t>Total monthly net hospital savings</t>
        </is>
      </c>
      <c r="B37" s="14" t="n">
        <v>29534112.855</v>
      </c>
    </row>
    <row r="38">
      <c r="A38" s="6" t="inlineStr">
        <is>
          <t>Term (24mo) Florence fee</t>
        </is>
      </c>
      <c r="B38" s="14" t="n">
        <v>94149951.47999999</v>
      </c>
    </row>
    <row r="39">
      <c r="A39" s="6" t="inlineStr">
        <is>
          <t>Term (24mo) Hospital net savings</t>
        </is>
      </c>
      <c r="B39" s="14" t="n">
        <v>708818708.5199999</v>
      </c>
    </row>
    <row r="40">
      <c r="A40" s="6" t="inlineStr">
        <is>
          <t>Savings : Fee ratio</t>
        </is>
      </c>
      <c r="B40" s="15" t="n">
        <v>7.528614697911684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158473.692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158473.692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9825.368904000001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2297.868534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12123.237438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1010.2697865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503300</t>
        </is>
      </c>
      <c r="B2" t="inlineStr">
        <is>
          <t>SEATTLE CHILDREN'S HOSPITAL</t>
        </is>
      </c>
      <c r="C2" t="inlineStr">
        <is>
          <t>SEATTLE</t>
        </is>
      </c>
      <c r="D2" t="inlineStr">
        <is>
          <t>WA</t>
        </is>
      </c>
      <c r="E2" t="inlineStr">
        <is>
          <t>Independent / Unknown</t>
        </is>
      </c>
      <c r="F2" s="22" t="n">
        <v>2672.5</v>
      </c>
      <c r="G2" s="23" t="n">
        <v>84.65475000000001</v>
      </c>
      <c r="H2" s="23" t="n">
        <v>160.2</v>
      </c>
      <c r="I2" s="23" t="n">
        <v>75.54524999999998</v>
      </c>
      <c r="J2" s="24" t="n">
        <v>1467.882</v>
      </c>
      <c r="K2" s="24" t="n">
        <v>733.9409999999999</v>
      </c>
      <c r="L2" s="24" t="n">
        <v>733.9409999999999</v>
      </c>
      <c r="M2" s="25" t="n">
        <v>0.5</v>
      </c>
      <c r="N2" s="24" t="n">
        <v>11785.059</v>
      </c>
      <c r="O2" s="24" t="n">
        <v>11051.118</v>
      </c>
      <c r="P2" s="24" t="n">
        <v>3922914.645</v>
      </c>
      <c r="Q2" s="24" t="n">
        <v>1961457.3225</v>
      </c>
      <c r="R2" s="24" t="n">
        <v>29534112.855</v>
      </c>
      <c r="S2" s="24" t="n">
        <v>94149951.47999999</v>
      </c>
      <c r="T2" s="24" t="n">
        <v>708818708.5199999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1223.235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917.4262499999999</v>
      </c>
      <c r="D5" s="24" t="n">
        <v>1834.8525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1467.882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1223.235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978.5879999999999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WA</t>
        </is>
      </c>
      <c r="B4" t="n">
        <v>1</v>
      </c>
      <c r="C4" s="23" t="n">
        <v>84.65475000000001</v>
      </c>
      <c r="D4" s="23" t="n">
        <v>160.2</v>
      </c>
      <c r="E4" s="23" t="n">
        <v>75.54524999999998</v>
      </c>
      <c r="F4" s="24" t="n">
        <v>1467.882</v>
      </c>
      <c r="G4" s="24" t="n">
        <v>733.9409999999999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503300</t>
        </is>
      </c>
      <c r="B2" t="inlineStr">
        <is>
          <t>SEATTLE CHILDREN'S HOSPITAL</t>
        </is>
      </c>
      <c r="C2" t="inlineStr">
        <is>
          <t>SEATTLE</t>
        </is>
      </c>
      <c r="D2" t="inlineStr">
        <is>
          <t>WA</t>
        </is>
      </c>
      <c r="E2" t="inlineStr">
        <is>
          <t>KING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9898</v>
      </c>
      <c r="I2" t="inlineStr"/>
      <c r="J2" t="inlineStr"/>
      <c r="K2" s="25" t="n">
        <v>0.2343</v>
      </c>
      <c r="L2" s="24" t="n">
        <v>2672.5</v>
      </c>
      <c r="M2" s="24" t="n">
        <v>84.65475000000001</v>
      </c>
      <c r="N2" s="24" t="n">
        <v>160.2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SEATTLE CHILDREN'S HOSPITAL</t>
        </is>
      </c>
    </row>
    <row r="4">
      <c r="A4" s="6" t="inlineStr">
        <is>
          <t>Scope</t>
        </is>
      </c>
      <c r="B4" s="29" t="inlineStr">
        <is>
          <t>SEATTLE, WA · CCN 503300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