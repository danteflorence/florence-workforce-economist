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ROBERT WOOD JOHNSON UNIVERSITY HOSPITAL</t>
        </is>
      </c>
    </row>
    <row r="2">
      <c r="A2" s="2" t="inlineStr">
        <is>
          <t>Scope: NEW BRUNSWICK, NJ · CCN 310038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1338.9948</v>
      </c>
    </row>
    <row r="6">
      <c r="A6" s="6" t="inlineStr">
        <is>
          <t>②  Employer FICA Savings / RN/mo</t>
        </is>
      </c>
      <c r="B6" s="7" t="n">
        <v>669.4974</v>
      </c>
    </row>
    <row r="7">
      <c r="A7" s="6" t="inlineStr">
        <is>
          <t>③  FICA-Adjusted Effective Cost / RN/mo</t>
        </is>
      </c>
      <c r="B7" s="7" t="n">
        <v>669.4974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-420.1548000000005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1251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1338.9948</v>
      </c>
    </row>
    <row r="26">
      <c r="A26" s="6" t="inlineStr">
        <is>
          <t>− Employer FICA Offset</t>
        </is>
      </c>
      <c r="B26" s="12" t="n">
        <v>-669.4974</v>
      </c>
    </row>
    <row r="27">
      <c r="A27" s="6">
        <f> FICA-Adjusted Effective Cost</f>
        <v/>
      </c>
      <c r="B27" s="12" t="n">
        <v>669.4974</v>
      </c>
    </row>
    <row r="28">
      <c r="A28" s="6" t="inlineStr">
        <is>
          <t>+ Agency Premium Avoided</t>
        </is>
      </c>
      <c r="B28" s="12" t="n">
        <v>249.346644565066</v>
      </c>
    </row>
    <row r="29">
      <c r="A29" s="6">
        <f> Net Monthly Savings per RN</f>
        <v/>
      </c>
      <c r="B29" s="13" t="n">
        <v>-420.1548000000005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1674841.86286646</v>
      </c>
    </row>
    <row r="34">
      <c r="A34" s="6" t="inlineStr">
        <is>
          <t>Total monthly FICA offset to hospitals</t>
        </is>
      </c>
      <c r="B34" s="14" t="n">
        <v>837420.9314332299</v>
      </c>
    </row>
    <row r="35">
      <c r="A35" s="6" t="inlineStr">
        <is>
          <t>Total monthly FICA-adjusted effective cost</t>
        </is>
      </c>
      <c r="B35" s="14" t="n">
        <v>837420.9314332299</v>
      </c>
    </row>
    <row r="36">
      <c r="A36" s="6" t="inlineStr">
        <is>
          <t>Total monthly agency premium avoided</t>
        </is>
      </c>
      <c r="B36" s="14" t="n">
        <v>311882.7830219846</v>
      </c>
    </row>
    <row r="37">
      <c r="A37" s="6" t="inlineStr">
        <is>
          <t>Total monthly net hospital savings</t>
        </is>
      </c>
      <c r="B37" s="14" t="n">
        <v>-525538.1484112452</v>
      </c>
    </row>
    <row r="38">
      <c r="A38" s="6" t="inlineStr">
        <is>
          <t>Term (24mo) Florence fee</t>
        </is>
      </c>
      <c r="B38" s="14" t="n">
        <v>40196204.70879503</v>
      </c>
    </row>
    <row r="39">
      <c r="A39" s="6" t="inlineStr">
        <is>
          <t>Term (24mo) Hospital net savings</t>
        </is>
      </c>
      <c r="B39" s="14" t="n">
        <v>-12612915.56186989</v>
      </c>
    </row>
    <row r="40">
      <c r="A40" s="6" t="inlineStr">
        <is>
          <t>Savings : Fee ratio</t>
        </is>
      </c>
      <c r="B40" s="15" t="n">
        <v>-0.3137837428494872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141844.5288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141844.5288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8794.360785600002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2056.745667600001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10851.1064532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904.2588711000002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310038</t>
        </is>
      </c>
      <c r="B2" t="inlineStr">
        <is>
          <t>ROBERT WOOD JOHNSON UNIVERSITY HOSPITAL</t>
        </is>
      </c>
      <c r="C2" t="inlineStr">
        <is>
          <t>NEW BRUNSWICK</t>
        </is>
      </c>
      <c r="D2" t="inlineStr">
        <is>
          <t>NJ</t>
        </is>
      </c>
      <c r="E2" t="inlineStr">
        <is>
          <t>RWJBarnabas Health</t>
        </is>
      </c>
      <c r="F2" s="22" t="n">
        <v>1250.8</v>
      </c>
      <c r="G2" s="23" t="n">
        <v>75.77165000000001</v>
      </c>
      <c r="H2" s="23" t="n">
        <v>77.37</v>
      </c>
      <c r="I2" s="23" t="n">
        <v>1.598349999999996</v>
      </c>
      <c r="J2" s="24" t="n">
        <v>1338.9948</v>
      </c>
      <c r="K2" s="24" t="n">
        <v>669.4974</v>
      </c>
      <c r="L2" s="24" t="n">
        <v>669.4974</v>
      </c>
      <c r="M2" s="25" t="n">
        <v>0.5</v>
      </c>
      <c r="N2" s="24" t="n">
        <v>249.3425999999994</v>
      </c>
      <c r="O2" s="24" t="n">
        <v>-420.1548000000005</v>
      </c>
      <c r="P2" s="24" t="n">
        <v>1674841.86286646</v>
      </c>
      <c r="Q2" s="24" t="n">
        <v>837420.9314332299</v>
      </c>
      <c r="R2" s="24" t="n">
        <v>-525538.1484112452</v>
      </c>
      <c r="S2" s="24" t="n">
        <v>40196204.70879503</v>
      </c>
      <c r="T2" s="24" t="n">
        <v>-12612915.56186989</v>
      </c>
      <c r="U2" t="inlineStr">
        <is>
          <t>target</t>
        </is>
      </c>
      <c r="V2" s="22" t="n">
        <v>0.92</v>
      </c>
      <c r="W2" t="inlineStr">
        <is>
          <t>hcris_nmrc_agency_per_hospital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1115.829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836.8717499999999</v>
      </c>
      <c r="D5" s="24" t="n">
        <v>1673.7435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1338.9948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1115.829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892.6632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NJ</t>
        </is>
      </c>
      <c r="B4" t="n">
        <v>1</v>
      </c>
      <c r="C4" s="23" t="n">
        <v>75.77165000000001</v>
      </c>
      <c r="D4" s="23" t="n">
        <v>77.37</v>
      </c>
      <c r="E4" s="23" t="n">
        <v>1.598349999999996</v>
      </c>
      <c r="F4" s="24" t="n">
        <v>1338.9948</v>
      </c>
      <c r="G4" s="24" t="n">
        <v>669.4974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310038</t>
        </is>
      </c>
      <c r="B2" t="inlineStr">
        <is>
          <t>ROBERT WOOD JOHNSON UNIVERSITY HOSPITAL</t>
        </is>
      </c>
      <c r="C2" t="inlineStr">
        <is>
          <t>NEW BRUNSWICK</t>
        </is>
      </c>
      <c r="D2" t="inlineStr">
        <is>
          <t>NJ</t>
        </is>
      </c>
      <c r="E2" t="inlineStr">
        <is>
          <t>MIDDLESEX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3943</v>
      </c>
      <c r="I2" s="24" t="n">
        <v>251617511</v>
      </c>
      <c r="J2" s="25" t="n">
        <v>0.3957</v>
      </c>
      <c r="K2" s="25" t="n">
        <v>0.0198</v>
      </c>
      <c r="L2" s="24" t="n">
        <v>1250.8</v>
      </c>
      <c r="M2" s="24" t="n">
        <v>75.77165000000001</v>
      </c>
      <c r="N2" s="24" t="n">
        <v>77.37</v>
      </c>
      <c r="O2" t="inlineStr">
        <is>
          <t>hcris_nmrc_agency_per_hospital</t>
        </is>
      </c>
      <c r="P2" s="26" t="n">
        <v>0.92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ROBERT WOOD JOHNSON UNIVERSITY HOSPITAL</t>
        </is>
      </c>
    </row>
    <row r="4">
      <c r="A4" s="6" t="inlineStr">
        <is>
          <t>Scope</t>
        </is>
      </c>
      <c r="B4" s="29" t="inlineStr">
        <is>
          <t>NEW BRUNSWICK, NJ · CCN 310038</t>
        </is>
      </c>
    </row>
    <row r="5">
      <c r="A5" s="6" t="inlineStr">
        <is>
          <t>Generated at</t>
        </is>
      </c>
      <c r="B5" s="29" t="inlineStr">
        <is>
          <t>2026-05-28T11:09:43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2026-05-28T18:09:43Z</dcterms:created>
  <dcterms:modified xsi:type="dcterms:W3CDTF">2026-05-28T18:09:43Z</dcterms:modified>
</cp:coreProperties>
</file>