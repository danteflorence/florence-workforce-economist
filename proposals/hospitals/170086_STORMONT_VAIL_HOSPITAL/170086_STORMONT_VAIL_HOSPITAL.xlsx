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Hospital: STORMONT VAIL HOSPITAL</t>
        </is>
      </c>
    </row>
    <row r="2">
      <c r="A2" s="2" t="inlineStr">
        <is>
          <t>Scope: TOPEKA, KS · CCN 170086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868.7952000000001</v>
      </c>
    </row>
    <row r="6">
      <c r="A6" s="6" t="inlineStr">
        <is>
          <t>②  Employer FICA Savings / RN/mo</t>
        </is>
      </c>
      <c r="B6" s="7" t="n">
        <v>434.3976000000001</v>
      </c>
    </row>
    <row r="7">
      <c r="A7" s="6" t="inlineStr">
        <is>
          <t>③  FICA-Adjusted Effective Cost / RN/mo</t>
        </is>
      </c>
      <c r="B7" s="7" t="n">
        <v>434.3976000000001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5875.084800000001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1</v>
      </c>
    </row>
    <row r="15">
      <c r="A15" s="6" t="inlineStr">
        <is>
          <t>Hospitals quotable</t>
        </is>
      </c>
      <c r="B15" s="11" t="n">
        <v>1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1414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868.7952000000001</v>
      </c>
    </row>
    <row r="26">
      <c r="A26" s="6" t="inlineStr">
        <is>
          <t>− Employer FICA Offset</t>
        </is>
      </c>
      <c r="B26" s="12" t="n">
        <v>-434.3976000000001</v>
      </c>
    </row>
    <row r="27">
      <c r="A27" s="6">
        <f> FICA-Adjusted Effective Cost</f>
        <v/>
      </c>
      <c r="B27" s="12" t="n">
        <v>434.3976000000001</v>
      </c>
    </row>
    <row r="28">
      <c r="A28" s="6" t="inlineStr">
        <is>
          <t>+ Agency Premium Avoided</t>
        </is>
      </c>
      <c r="B28" s="12" t="n">
        <v>6309.482400000001</v>
      </c>
    </row>
    <row r="29">
      <c r="A29" s="6">
        <f> Net Monthly Savings per RN</f>
        <v/>
      </c>
      <c r="B29" s="13" t="n">
        <v>5875.084800000001</v>
      </c>
    </row>
    <row r="32">
      <c r="A32" s="3" t="inlineStr">
        <is>
          <t>PORTFOLIO TOTALS (1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1228042.0152</v>
      </c>
    </row>
    <row r="34">
      <c r="A34" s="6" t="inlineStr">
        <is>
          <t>Total monthly FICA offset to hospitals</t>
        </is>
      </c>
      <c r="B34" s="14" t="n">
        <v>614021.0076000001</v>
      </c>
    </row>
    <row r="35">
      <c r="A35" s="6" t="inlineStr">
        <is>
          <t>Total monthly FICA-adjusted effective cost</t>
        </is>
      </c>
      <c r="B35" s="14" t="n">
        <v>614021.0076000001</v>
      </c>
    </row>
    <row r="36">
      <c r="A36" s="6" t="inlineStr">
        <is>
          <t>Total monthly agency premium avoided</t>
        </is>
      </c>
      <c r="B36" s="14" t="n">
        <v>8918453.372400001</v>
      </c>
    </row>
    <row r="37">
      <c r="A37" s="6" t="inlineStr">
        <is>
          <t>Total monthly net hospital savings</t>
        </is>
      </c>
      <c r="B37" s="14" t="n">
        <v>8304432.364800001</v>
      </c>
    </row>
    <row r="38">
      <c r="A38" s="6" t="inlineStr">
        <is>
          <t>Term (24mo) Florence fee</t>
        </is>
      </c>
      <c r="B38" s="14" t="n">
        <v>29473008.36480001</v>
      </c>
    </row>
    <row r="39">
      <c r="A39" s="6" t="inlineStr">
        <is>
          <t>Term (24mo) Hospital net savings</t>
        </is>
      </c>
      <c r="B39" s="14" t="n">
        <v>199306376.7552</v>
      </c>
    </row>
    <row r="40">
      <c r="A40" s="6" t="inlineStr">
        <is>
          <t>Savings : Fee ratio</t>
        </is>
      </c>
      <c r="B40" s="15" t="n">
        <v>6.762335703512174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81178.5312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81178.5312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5033.0689344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1177.0887024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6210.157636800001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517.5131364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170086</t>
        </is>
      </c>
      <c r="B2" t="inlineStr">
        <is>
          <t>STORMONT VAIL HOSPITAL</t>
        </is>
      </c>
      <c r="C2" t="inlineStr">
        <is>
          <t>TOPEKA</t>
        </is>
      </c>
      <c r="D2" t="inlineStr">
        <is>
          <t>KS</t>
        </is>
      </c>
      <c r="E2" t="inlineStr">
        <is>
          <t>Stormont Vail</t>
        </is>
      </c>
      <c r="F2" s="22" t="n">
        <v>1413.5</v>
      </c>
      <c r="G2" s="23" t="n">
        <v>43.3646</v>
      </c>
      <c r="H2" s="23" t="n">
        <v>83.81</v>
      </c>
      <c r="I2" s="23" t="n">
        <v>40.44540000000001</v>
      </c>
      <c r="J2" s="24" t="n">
        <v>868.7952000000001</v>
      </c>
      <c r="K2" s="24" t="n">
        <v>434.3976000000001</v>
      </c>
      <c r="L2" s="24" t="n">
        <v>434.3976000000001</v>
      </c>
      <c r="M2" s="25" t="n">
        <v>0.5</v>
      </c>
      <c r="N2" s="24" t="n">
        <v>6309.482400000001</v>
      </c>
      <c r="O2" s="24" t="n">
        <v>5875.084800000001</v>
      </c>
      <c r="P2" s="24" t="n">
        <v>1228042.0152</v>
      </c>
      <c r="Q2" s="24" t="n">
        <v>614021.0076000001</v>
      </c>
      <c r="R2" s="24" t="n">
        <v>8304432.364800001</v>
      </c>
      <c r="S2" s="24" t="n">
        <v>29473008.36480001</v>
      </c>
      <c r="T2" s="24" t="n">
        <v>199306376.7552</v>
      </c>
      <c r="U2" t="inlineStr">
        <is>
          <t>target</t>
        </is>
      </c>
      <c r="V2" s="22" t="n">
        <v>0.85</v>
      </c>
      <c r="W2" t="inlineStr">
        <is>
          <t>hcris_derived_with_state_agency</t>
        </is>
      </c>
      <c r="X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750</v>
      </c>
      <c r="D4" s="24" t="n">
        <v>1447.992</v>
      </c>
    </row>
    <row r="5">
      <c r="A5" t="inlineStr">
        <is>
          <t>40%</t>
        </is>
      </c>
      <c r="B5" s="24" t="n">
        <v>750</v>
      </c>
      <c r="C5" s="24" t="n">
        <v>750</v>
      </c>
      <c r="D5" s="24" t="n">
        <v>1085.994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868.7952000000001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750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750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KS</t>
        </is>
      </c>
      <c r="B4" t="n">
        <v>1</v>
      </c>
      <c r="C4" s="23" t="n">
        <v>43.3646</v>
      </c>
      <c r="D4" s="23" t="n">
        <v>83.81</v>
      </c>
      <c r="E4" s="23" t="n">
        <v>40.44540000000001</v>
      </c>
      <c r="F4" s="24" t="n">
        <v>868.7952000000001</v>
      </c>
      <c r="G4" s="24" t="n">
        <v>434.3976000000001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170086</t>
        </is>
      </c>
      <c r="B2" t="inlineStr">
        <is>
          <t>STORMONT VAIL HOSPITAL</t>
        </is>
      </c>
      <c r="C2" t="inlineStr">
        <is>
          <t>TOPEKA</t>
        </is>
      </c>
      <c r="D2" t="inlineStr">
        <is>
          <t>KS</t>
        </is>
      </c>
      <c r="E2" t="inlineStr">
        <is>
          <t>SHAWNEE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5235</v>
      </c>
      <c r="I2" t="inlineStr"/>
      <c r="J2" t="inlineStr"/>
      <c r="K2" s="25" t="n">
        <v>0.4651</v>
      </c>
      <c r="L2" s="24" t="n">
        <v>1413.5</v>
      </c>
      <c r="M2" s="24" t="n">
        <v>43.3646</v>
      </c>
      <c r="N2" s="24" t="n">
        <v>83.81</v>
      </c>
      <c r="O2" t="inlineStr">
        <is>
          <t>hcris_derived_with_state_agency</t>
        </is>
      </c>
      <c r="P2" s="26" t="n">
        <v>0.85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STORMONT VAIL HOSPITAL</t>
        </is>
      </c>
    </row>
    <row r="4">
      <c r="A4" s="6" t="inlineStr">
        <is>
          <t>Scope</t>
        </is>
      </c>
      <c r="B4" s="29" t="inlineStr">
        <is>
          <t>TOPEKA, KS · CCN 170086</t>
        </is>
      </c>
    </row>
    <row r="5">
      <c r="A5" s="6" t="inlineStr">
        <is>
          <t>Generated at</t>
        </is>
      </c>
      <c r="B5" s="29" t="inlineStr">
        <is>
          <t>2026-05-28T11:09:43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2026-05-28T18:09:43Z</dcterms:created>
  <dcterms:modified xsi:type="dcterms:W3CDTF">2026-05-28T18:09:43Z</dcterms:modified>
</cp:coreProperties>
</file>