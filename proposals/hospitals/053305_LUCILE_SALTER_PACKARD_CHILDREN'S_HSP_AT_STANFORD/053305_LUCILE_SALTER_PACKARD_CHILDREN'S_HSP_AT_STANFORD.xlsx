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LUCILE SALTER PACKARD CHILDREN'S HSP AT STANFORD</t>
        </is>
      </c>
    </row>
    <row r="2">
      <c r="A2" s="2" t="inlineStr">
        <is>
          <t>Scope: PALO ALTO, CA · CCN 053305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1944.28728</v>
      </c>
    </row>
    <row r="6">
      <c r="A6" s="6" t="inlineStr">
        <is>
          <t>②  Employer FICA Savings / RN/mo</t>
        </is>
      </c>
      <c r="B6" s="7" t="n">
        <v>972.1436399999999</v>
      </c>
    </row>
    <row r="7">
      <c r="A7" s="6" t="inlineStr">
        <is>
          <t>③  FICA-Adjusted Effective Cost / RN/mo</t>
        </is>
      </c>
      <c r="B7" s="7" t="n">
        <v>972.1436399999999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3826.15272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1465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1944.28728</v>
      </c>
    </row>
    <row r="26">
      <c r="A26" s="6" t="inlineStr">
        <is>
          <t>− Employer FICA Offset</t>
        </is>
      </c>
      <c r="B26" s="12" t="n">
        <v>-972.1436399999999</v>
      </c>
    </row>
    <row r="27">
      <c r="A27" s="6">
        <f> FICA-Adjusted Effective Cost</f>
        <v/>
      </c>
      <c r="B27" s="12" t="n">
        <v>972.1436399999999</v>
      </c>
    </row>
    <row r="28">
      <c r="A28" s="6" t="inlineStr">
        <is>
          <t>+ Agency Premium Avoided</t>
        </is>
      </c>
      <c r="B28" s="12" t="n">
        <v>4798.296359999999</v>
      </c>
    </row>
    <row r="29">
      <c r="A29" s="6">
        <f> Net Monthly Savings per RN</f>
        <v/>
      </c>
      <c r="B29" s="13" t="n">
        <v>3826.15272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2847992.007743999</v>
      </c>
    </row>
    <row r="34">
      <c r="A34" s="6" t="inlineStr">
        <is>
          <t>Total monthly FICA offset to hospitals</t>
        </is>
      </c>
      <c r="B34" s="14" t="n">
        <v>1423996.003872</v>
      </c>
    </row>
    <row r="35">
      <c r="A35" s="6" t="inlineStr">
        <is>
          <t>Total monthly FICA-adjusted effective cost</t>
        </is>
      </c>
      <c r="B35" s="14" t="n">
        <v>1423996.003872</v>
      </c>
    </row>
    <row r="36">
      <c r="A36" s="6" t="inlineStr">
        <is>
          <t>Total monthly agency premium avoided</t>
        </is>
      </c>
      <c r="B36" s="14" t="n">
        <v>7028544.508127999</v>
      </c>
    </row>
    <row r="37">
      <c r="A37" s="6" t="inlineStr">
        <is>
          <t>Total monthly net hospital savings</t>
        </is>
      </c>
      <c r="B37" s="14" t="n">
        <v>5604548.504256</v>
      </c>
    </row>
    <row r="38">
      <c r="A38" s="6" t="inlineStr">
        <is>
          <t>Term (24mo) Florence fee</t>
        </is>
      </c>
      <c r="B38" s="14" t="n">
        <v>68351808.185856</v>
      </c>
    </row>
    <row r="39">
      <c r="A39" s="6" t="inlineStr">
        <is>
          <t>Term (24mo) Hospital net savings</t>
        </is>
      </c>
      <c r="B39" s="14" t="n">
        <v>134509164.102144</v>
      </c>
    </row>
    <row r="40">
      <c r="A40" s="6" t="inlineStr">
        <is>
          <t>Savings : Fee ratio</t>
        </is>
      </c>
      <c r="B40" s="15" t="n">
        <v>1.967894744443321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209910.52368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8" t="n">
        <v>184500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11439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3043.70259336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14482.70259336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1206.89188278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053305</t>
        </is>
      </c>
      <c r="B2" t="inlineStr">
        <is>
          <t>LUCILE SALTER PACKARD CHILDREN'S HSP AT STANFORD</t>
        </is>
      </c>
      <c r="C2" t="inlineStr">
        <is>
          <t>PALO ALTO</t>
        </is>
      </c>
      <c r="D2" t="inlineStr">
        <is>
          <t>CA</t>
        </is>
      </c>
      <c r="E2" t="inlineStr">
        <is>
          <t>Stanford Health</t>
        </is>
      </c>
      <c r="F2" s="22" t="n">
        <v>1464.8</v>
      </c>
      <c r="G2" s="23" t="n">
        <v>112.13169</v>
      </c>
      <c r="H2" s="23" t="n">
        <v>142.89</v>
      </c>
      <c r="I2" s="23" t="n">
        <v>30.75830999999999</v>
      </c>
      <c r="J2" s="24" t="n">
        <v>1944.28728</v>
      </c>
      <c r="K2" s="24" t="n">
        <v>972.1436399999999</v>
      </c>
      <c r="L2" s="24" t="n">
        <v>972.1436399999999</v>
      </c>
      <c r="M2" s="25" t="n">
        <v>0.5</v>
      </c>
      <c r="N2" s="24" t="n">
        <v>4798.296359999999</v>
      </c>
      <c r="O2" s="24" t="n">
        <v>3826.15272</v>
      </c>
      <c r="P2" s="24" t="n">
        <v>2847992.007743999</v>
      </c>
      <c r="Q2" s="24" t="n">
        <v>1423996.003872</v>
      </c>
      <c r="R2" s="24" t="n">
        <v>5604548.504256</v>
      </c>
      <c r="S2" s="24" t="n">
        <v>68351808.185856</v>
      </c>
      <c r="T2" s="24" t="n">
        <v>134509164.102144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1620.2394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1215.17955</v>
      </c>
      <c r="D5" s="24" t="n">
        <v>2000</v>
      </c>
    </row>
    <row r="6">
      <c r="A6" t="inlineStr">
        <is>
          <t>50%</t>
        </is>
      </c>
      <c r="B6" s="24" t="n">
        <v>750</v>
      </c>
      <c r="C6" s="24" t="n">
        <v>972.1436399999999</v>
      </c>
      <c r="D6" s="24" t="n">
        <v>1944.28728</v>
      </c>
    </row>
    <row r="7">
      <c r="A7" t="inlineStr">
        <is>
          <t>60%</t>
        </is>
      </c>
      <c r="B7" s="24" t="n">
        <v>750</v>
      </c>
      <c r="C7" s="24" t="n">
        <v>810.1197</v>
      </c>
      <c r="D7" s="24" t="n">
        <v>1620.2394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1296.19152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112.13169</v>
      </c>
      <c r="D4" s="23" t="n">
        <v>142.89</v>
      </c>
      <c r="E4" s="23" t="n">
        <v>30.75830999999999</v>
      </c>
      <c r="F4" s="24" t="n">
        <v>1944.28728</v>
      </c>
      <c r="G4" s="24" t="n">
        <v>972.1436399999999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053305</t>
        </is>
      </c>
      <c r="B2" t="inlineStr">
        <is>
          <t>LUCILE SALTER PACKARD CHILDREN'S HSP AT STANFORD</t>
        </is>
      </c>
      <c r="C2" t="inlineStr">
        <is>
          <t>PALO ALTO</t>
        </is>
      </c>
      <c r="D2" t="inlineStr">
        <is>
          <t>CA</t>
        </is>
      </c>
      <c r="E2" t="inlineStr">
        <is>
          <t>SANTA CLARA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5425</v>
      </c>
      <c r="I2" t="inlineStr"/>
      <c r="J2" t="inlineStr"/>
      <c r="K2" s="25" t="n">
        <v>0.2643</v>
      </c>
      <c r="L2" s="24" t="n">
        <v>1464.8</v>
      </c>
      <c r="M2" s="24" t="n">
        <v>112.13169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LUCILE SALTER PACKARD CHILDREN'S HSP AT STANFORD</t>
        </is>
      </c>
    </row>
    <row r="4">
      <c r="A4" s="6" t="inlineStr">
        <is>
          <t>Scope</t>
        </is>
      </c>
      <c r="B4" s="29" t="inlineStr">
        <is>
          <t>PALO ALTO, CA · CCN 053305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