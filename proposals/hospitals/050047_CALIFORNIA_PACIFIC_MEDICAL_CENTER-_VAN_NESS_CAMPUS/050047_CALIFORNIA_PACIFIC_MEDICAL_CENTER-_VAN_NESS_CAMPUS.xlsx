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CALIFORNIA PACIFIC MEDICAL CENTER- VAN NESS CAMPUS</t>
        </is>
      </c>
    </row>
    <row r="2">
      <c r="A2" s="2" t="inlineStr">
        <is>
          <t>Scope: SAN FRANCISCO, CA · CCN 050047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1884.3786</v>
      </c>
    </row>
    <row r="6">
      <c r="A6" s="6" t="inlineStr">
        <is>
          <t>②  Employer FICA Savings / RN/mo</t>
        </is>
      </c>
      <c r="B6" s="7" t="n">
        <v>942.1893</v>
      </c>
    </row>
    <row r="7">
      <c r="A7" s="6" t="inlineStr">
        <is>
          <t>③  FICA-Adjusted Effective Cost / RN/mo</t>
        </is>
      </c>
      <c r="B7" s="7" t="n">
        <v>942.1893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5536.541399999996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558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1884.3786</v>
      </c>
    </row>
    <row r="26">
      <c r="A26" s="6" t="inlineStr">
        <is>
          <t>− Employer FICA Offset</t>
        </is>
      </c>
      <c r="B26" s="12" t="n">
        <v>-942.1893</v>
      </c>
    </row>
    <row r="27">
      <c r="A27" s="6">
        <f> FICA-Adjusted Effective Cost</f>
        <v/>
      </c>
      <c r="B27" s="12" t="n">
        <v>942.1893</v>
      </c>
    </row>
    <row r="28">
      <c r="A28" s="6" t="inlineStr">
        <is>
          <t>+ Agency Premium Avoided</t>
        </is>
      </c>
      <c r="B28" s="12" t="n">
        <v>6478.730699999996</v>
      </c>
    </row>
    <row r="29">
      <c r="A29" s="6">
        <f> Net Monthly Savings per RN</f>
        <v/>
      </c>
      <c r="B29" s="13" t="n">
        <v>5536.541399999996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1051860.13452</v>
      </c>
    </row>
    <row r="34">
      <c r="A34" s="6" t="inlineStr">
        <is>
          <t>Total monthly FICA offset to hospitals</t>
        </is>
      </c>
      <c r="B34" s="14" t="n">
        <v>525930.06726</v>
      </c>
    </row>
    <row r="35">
      <c r="A35" s="6" t="inlineStr">
        <is>
          <t>Total monthly FICA-adjusted effective cost</t>
        </is>
      </c>
      <c r="B35" s="14" t="n">
        <v>525930.06726</v>
      </c>
    </row>
    <row r="36">
      <c r="A36" s="6" t="inlineStr">
        <is>
          <t>Total monthly agency premium avoided</t>
        </is>
      </c>
      <c r="B36" s="14" t="n">
        <v>3616427.476739998</v>
      </c>
    </row>
    <row r="37">
      <c r="A37" s="6" t="inlineStr">
        <is>
          <t>Total monthly net hospital savings</t>
        </is>
      </c>
      <c r="B37" s="14" t="n">
        <v>3090497.409479998</v>
      </c>
    </row>
    <row r="38">
      <c r="A38" s="6" t="inlineStr">
        <is>
          <t>Term (24mo) Florence fee</t>
        </is>
      </c>
      <c r="B38" s="14" t="n">
        <v>25244643.22848</v>
      </c>
    </row>
    <row r="39">
      <c r="A39" s="6" t="inlineStr">
        <is>
          <t>Term (24mo) Hospital net savings</t>
        </is>
      </c>
      <c r="B39" s="14" t="n">
        <v>74171937.82751997</v>
      </c>
    </row>
    <row r="40">
      <c r="A40" s="6" t="inlineStr">
        <is>
          <t>Savings : Fee ratio</t>
        </is>
      </c>
      <c r="B40" s="15" t="n">
        <v>2.938125809749695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189745.3116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2751.307018200001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14190.3070182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1182.52558485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050047</t>
        </is>
      </c>
      <c r="B2" t="inlineStr">
        <is>
          <t>CALIFORNIA PACIFIC MEDICAL CENTER- VAN NESS CAMPUS</t>
        </is>
      </c>
      <c r="C2" t="inlineStr">
        <is>
          <t>SAN FRANCISCO</t>
        </is>
      </c>
      <c r="D2" t="inlineStr">
        <is>
          <t>CA</t>
        </is>
      </c>
      <c r="E2" t="inlineStr">
        <is>
          <t>Independent / Unknown</t>
        </is>
      </c>
      <c r="F2" s="22" t="n">
        <v>558.2</v>
      </c>
      <c r="G2" s="23" t="n">
        <v>101.359675</v>
      </c>
      <c r="H2" s="23" t="n">
        <v>142.89</v>
      </c>
      <c r="I2" s="23" t="n">
        <v>41.53032499999998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6478.730699999996</v>
      </c>
      <c r="O2" s="24" t="n">
        <v>5536.541399999996</v>
      </c>
      <c r="P2" s="24" t="n">
        <v>1051860.13452</v>
      </c>
      <c r="Q2" s="24" t="n">
        <v>525930.06726</v>
      </c>
      <c r="R2" s="24" t="n">
        <v>3090497.409479998</v>
      </c>
      <c r="S2" s="24" t="n">
        <v>25244643.22848</v>
      </c>
      <c r="T2" s="24" t="n">
        <v>74171937.82751997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1570.3155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1177.736625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942.1893</v>
      </c>
      <c r="D6" s="24" t="n">
        <v>1884.3786</v>
      </c>
    </row>
    <row r="7">
      <c r="A7" t="inlineStr">
        <is>
          <t>60%</t>
        </is>
      </c>
      <c r="B7" s="24" t="n">
        <v>750</v>
      </c>
      <c r="C7" s="24" t="n">
        <v>785.1577500000001</v>
      </c>
      <c r="D7" s="24" t="n">
        <v>1570.3155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1256.2524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101.359675</v>
      </c>
      <c r="D4" s="23" t="n">
        <v>142.89</v>
      </c>
      <c r="E4" s="23" t="n">
        <v>41.53032499999998</v>
      </c>
      <c r="F4" s="24" t="n">
        <v>1884.3786</v>
      </c>
      <c r="G4" s="24" t="n">
        <v>942.1893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050047</t>
        </is>
      </c>
      <c r="B2" t="inlineStr">
        <is>
          <t>CALIFORNIA PACIFIC MEDICAL CENTER- VAN NESS CAMPUS</t>
        </is>
      </c>
      <c r="C2" t="inlineStr">
        <is>
          <t>SAN FRANCISCO</t>
        </is>
      </c>
      <c r="D2" t="inlineStr">
        <is>
          <t>CA</t>
        </is>
      </c>
      <c r="E2" t="inlineStr">
        <is>
          <t>SAN FRANCISCO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2067</v>
      </c>
      <c r="I2" t="inlineStr"/>
      <c r="J2" t="inlineStr"/>
      <c r="K2" s="25" t="n">
        <v>0.1458</v>
      </c>
      <c r="L2" s="24" t="n">
        <v>558.2</v>
      </c>
      <c r="M2" s="24" t="n">
        <v>101.359675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CALIFORNIA PACIFIC MEDICAL CENTER- VAN NESS CAMPUS</t>
        </is>
      </c>
    </row>
    <row r="4">
      <c r="A4" s="6" t="inlineStr">
        <is>
          <t>Scope</t>
        </is>
      </c>
      <c r="B4" s="29" t="inlineStr">
        <is>
          <t>SAN FRANCISCO, CA · CCN 050047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