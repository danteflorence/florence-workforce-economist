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PHOENIX CHILDREN'S HOSPITAL</t>
        </is>
      </c>
    </row>
    <row r="2">
      <c r="A2" s="2" t="inlineStr">
        <is>
          <t>Scope: PHOENIX, AZ · CCN 033302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1168.3386</v>
      </c>
    </row>
    <row r="6">
      <c r="A6" s="6" t="inlineStr">
        <is>
          <t>②  Employer FICA Savings / RN/mo</t>
        </is>
      </c>
      <c r="B6" s="7" t="n">
        <v>584.1693</v>
      </c>
    </row>
    <row r="7">
      <c r="A7" s="6" t="inlineStr">
        <is>
          <t>③  FICA-Adjusted Effective Cost / RN/mo</t>
        </is>
      </c>
      <c r="B7" s="7" t="n">
        <v>584.1693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9258.701399999998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1576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1168.3386</v>
      </c>
    </row>
    <row r="26">
      <c r="A26" s="6" t="inlineStr">
        <is>
          <t>− Employer FICA Offset</t>
        </is>
      </c>
      <c r="B26" s="12" t="n">
        <v>-584.1693</v>
      </c>
    </row>
    <row r="27">
      <c r="A27" s="6">
        <f> FICA-Adjusted Effective Cost</f>
        <v/>
      </c>
      <c r="B27" s="12" t="n">
        <v>584.1693</v>
      </c>
    </row>
    <row r="28">
      <c r="A28" s="6" t="inlineStr">
        <is>
          <t>+ Agency Premium Avoided</t>
        </is>
      </c>
      <c r="B28" s="12" t="n">
        <v>9842.870699999999</v>
      </c>
    </row>
    <row r="29">
      <c r="A29" s="6">
        <f> Net Monthly Savings per RN</f>
        <v/>
      </c>
      <c r="B29" s="13" t="n">
        <v>9258.701399999998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1840951.13202</v>
      </c>
    </row>
    <row r="34">
      <c r="A34" s="6" t="inlineStr">
        <is>
          <t>Total monthly FICA offset to hospitals</t>
        </is>
      </c>
      <c r="B34" s="14" t="n">
        <v>920475.5660100001</v>
      </c>
    </row>
    <row r="35">
      <c r="A35" s="6" t="inlineStr">
        <is>
          <t>Total monthly FICA-adjusted effective cost</t>
        </is>
      </c>
      <c r="B35" s="14" t="n">
        <v>920475.5660100001</v>
      </c>
    </row>
    <row r="36">
      <c r="A36" s="6" t="inlineStr">
        <is>
          <t>Total monthly agency premium avoided</t>
        </is>
      </c>
      <c r="B36" s="14" t="n">
        <v>15509411.36199</v>
      </c>
    </row>
    <row r="37">
      <c r="A37" s="6" t="inlineStr">
        <is>
          <t>Total monthly net hospital savings</t>
        </is>
      </c>
      <c r="B37" s="14" t="n">
        <v>14588935.79598</v>
      </c>
    </row>
    <row r="38">
      <c r="A38" s="6" t="inlineStr">
        <is>
          <t>Term (24mo) Florence fee</t>
        </is>
      </c>
      <c r="B38" s="14" t="n">
        <v>44182827.16848</v>
      </c>
    </row>
    <row r="39">
      <c r="A39" s="6" t="inlineStr">
        <is>
          <t>Term (24mo) Hospital net savings</t>
        </is>
      </c>
      <c r="B39" s="14" t="n">
        <v>350134459.1035199</v>
      </c>
    </row>
    <row r="40">
      <c r="A40" s="6" t="inlineStr">
        <is>
          <t>Savings : Fee ratio</t>
        </is>
      </c>
      <c r="B40" s="15" t="n">
        <v>7.924673035710707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126125.3916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126125.3916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7819.774279199999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1828.8181782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9648.592457399998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804.0493714499999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033302</t>
        </is>
      </c>
      <c r="B2" t="inlineStr">
        <is>
          <t>PHOENIX CHILDREN'S HOSPITAL</t>
        </is>
      </c>
      <c r="C2" t="inlineStr">
        <is>
          <t>PHOENIX</t>
        </is>
      </c>
      <c r="D2" t="inlineStr">
        <is>
          <t>AZ</t>
        </is>
      </c>
      <c r="E2" t="inlineStr">
        <is>
          <t>Independent / Unknown</t>
        </is>
      </c>
      <c r="F2" s="22" t="n">
        <v>1575.7</v>
      </c>
      <c r="G2" s="23" t="n">
        <v>67.374675</v>
      </c>
      <c r="H2" s="23" t="n">
        <v>130.47</v>
      </c>
      <c r="I2" s="23" t="n">
        <v>63.095325</v>
      </c>
      <c r="J2" s="24" t="n">
        <v>1168.3386</v>
      </c>
      <c r="K2" s="24" t="n">
        <v>584.1693</v>
      </c>
      <c r="L2" s="24" t="n">
        <v>584.1693</v>
      </c>
      <c r="M2" s="25" t="n">
        <v>0.5</v>
      </c>
      <c r="N2" s="24" t="n">
        <v>9842.870699999999</v>
      </c>
      <c r="O2" s="24" t="n">
        <v>9258.701399999998</v>
      </c>
      <c r="P2" s="24" t="n">
        <v>1840951.13202</v>
      </c>
      <c r="Q2" s="24" t="n">
        <v>920475.5660100001</v>
      </c>
      <c r="R2" s="24" t="n">
        <v>14588935.79598</v>
      </c>
      <c r="S2" s="24" t="n">
        <v>44182827.16848</v>
      </c>
      <c r="T2" s="24" t="n">
        <v>350134459.1035199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973.6155000000001</v>
      </c>
      <c r="D4" s="24" t="n">
        <v>1947.231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1460.42325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1168.3386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973.6155000000001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778.8924000000001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AZ</t>
        </is>
      </c>
      <c r="B4" t="n">
        <v>1</v>
      </c>
      <c r="C4" s="23" t="n">
        <v>67.374675</v>
      </c>
      <c r="D4" s="23" t="n">
        <v>130.47</v>
      </c>
      <c r="E4" s="23" t="n">
        <v>63.095325</v>
      </c>
      <c r="F4" s="24" t="n">
        <v>1168.3386</v>
      </c>
      <c r="G4" s="24" t="n">
        <v>584.1693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033302</t>
        </is>
      </c>
      <c r="B2" t="inlineStr">
        <is>
          <t>PHOENIX CHILDREN'S HOSPITAL</t>
        </is>
      </c>
      <c r="C2" t="inlineStr">
        <is>
          <t>PHOENIX</t>
        </is>
      </c>
      <c r="D2" t="inlineStr">
        <is>
          <t>AZ</t>
        </is>
      </c>
      <c r="E2" t="inlineStr">
        <is>
          <t>MARICOPA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5836</v>
      </c>
      <c r="I2" t="inlineStr"/>
      <c r="J2" t="inlineStr"/>
      <c r="K2" s="25" t="n">
        <v>0.3556</v>
      </c>
      <c r="L2" s="24" t="n">
        <v>1575.7</v>
      </c>
      <c r="M2" s="24" t="n">
        <v>67.374675</v>
      </c>
      <c r="N2" s="24" t="n">
        <v>130.47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PHOENIX CHILDREN'S HOSPITAL</t>
        </is>
      </c>
    </row>
    <row r="4">
      <c r="A4" s="6" t="inlineStr">
        <is>
          <t>Scope</t>
        </is>
      </c>
      <c r="B4" s="29" t="inlineStr">
        <is>
          <t>PHOENIX, AZ · CCN 033302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