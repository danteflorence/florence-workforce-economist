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KAISER FOUNDATION HOSPITAL - SAN DIEGO</t>
        </is>
      </c>
    </row>
    <row r="2">
      <c r="A2" s="2" t="inlineStr">
        <is>
          <t>Scope: SAN DIEGO, CA · CCN 050515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1556.1936</v>
      </c>
    </row>
    <row r="6">
      <c r="A6" s="6" t="inlineStr">
        <is>
          <t>②  Employer FICA Savings / RN/mo</t>
        </is>
      </c>
      <c r="B6" s="7" t="n">
        <v>778.0967999999999</v>
      </c>
    </row>
    <row r="7">
      <c r="A7" s="6" t="inlineStr">
        <is>
          <t>③  FICA-Adjusted Effective Cost / RN/mo</t>
        </is>
      </c>
      <c r="B7" s="7" t="n">
        <v>778.0967999999999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4013.006400000002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611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1556.1936</v>
      </c>
    </row>
    <row r="26">
      <c r="A26" s="6" t="inlineStr">
        <is>
          <t>− Employer FICA Offset</t>
        </is>
      </c>
      <c r="B26" s="12" t="n">
        <v>-778.0967999999999</v>
      </c>
    </row>
    <row r="27">
      <c r="A27" s="6">
        <f> FICA-Adjusted Effective Cost</f>
        <v/>
      </c>
      <c r="B27" s="12" t="n">
        <v>778.0967999999999</v>
      </c>
    </row>
    <row r="28">
      <c r="A28" s="6" t="inlineStr">
        <is>
          <t>+ Agency Premium Avoided</t>
        </is>
      </c>
      <c r="B28" s="12" t="n">
        <v>4791.351881039204</v>
      </c>
    </row>
    <row r="29">
      <c r="A29" s="6">
        <f> Net Monthly Savings per RN</f>
        <v/>
      </c>
      <c r="B29" s="13" t="n">
        <v>4013.006400000002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951039.2698585151</v>
      </c>
    </row>
    <row r="34">
      <c r="A34" s="6" t="inlineStr">
        <is>
          <t>Total monthly FICA offset to hospitals</t>
        </is>
      </c>
      <c r="B34" s="14" t="n">
        <v>475519.6349292576</v>
      </c>
    </row>
    <row r="35">
      <c r="A35" s="6" t="inlineStr">
        <is>
          <t>Total monthly FICA-adjusted effective cost</t>
        </is>
      </c>
      <c r="B35" s="14" t="n">
        <v>475519.6349292576</v>
      </c>
    </row>
    <row r="36">
      <c r="A36" s="6" t="inlineStr">
        <is>
          <t>Total monthly agency premium avoided</t>
        </is>
      </c>
      <c r="B36" s="14" t="n">
        <v>2927995.134503058</v>
      </c>
    </row>
    <row r="37">
      <c r="A37" s="6" t="inlineStr">
        <is>
          <t>Total monthly net hospital savings</t>
        </is>
      </c>
      <c r="B37" s="14" t="n">
        <v>2452475.4995738</v>
      </c>
    </row>
    <row r="38">
      <c r="A38" s="6" t="inlineStr">
        <is>
          <t>Term (24mo) Florence fee</t>
        </is>
      </c>
      <c r="B38" s="14" t="n">
        <v>22824942.47660436</v>
      </c>
    </row>
    <row r="39">
      <c r="A39" s="6" t="inlineStr">
        <is>
          <t>Term (24mo) Hospital net savings</t>
        </is>
      </c>
      <c r="B39" s="14" t="n">
        <v>58859411.98977121</v>
      </c>
    </row>
    <row r="40">
      <c r="A40" s="6" t="inlineStr">
        <is>
          <t>Savings : Fee ratio</t>
        </is>
      </c>
      <c r="B40" s="15" t="n">
        <v>2.57873210633947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161137.6416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161137.6416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9990.533779200001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2336.4958032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12327.0295824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1027.2524652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050515</t>
        </is>
      </c>
      <c r="B2" t="inlineStr">
        <is>
          <t>KAISER FOUNDATION HOSPITAL - SAN DIEGO</t>
        </is>
      </c>
      <c r="C2" t="inlineStr">
        <is>
          <t>SAN DIEGO</t>
        </is>
      </c>
      <c r="D2" t="inlineStr">
        <is>
          <t>CA</t>
        </is>
      </c>
      <c r="E2" t="inlineStr">
        <is>
          <t>Kaiser Permanente</t>
        </is>
      </c>
      <c r="F2" s="22" t="n">
        <v>611.1</v>
      </c>
      <c r="G2" s="23" t="n">
        <v>86.0778</v>
      </c>
      <c r="H2" s="23" t="n">
        <v>116.79</v>
      </c>
      <c r="I2" s="23" t="n">
        <v>30.71220000000001</v>
      </c>
      <c r="J2" s="24" t="n">
        <v>1556.1936</v>
      </c>
      <c r="K2" s="24" t="n">
        <v>778.0967999999999</v>
      </c>
      <c r="L2" s="24" t="n">
        <v>778.0967999999999</v>
      </c>
      <c r="M2" s="25" t="n">
        <v>0.5</v>
      </c>
      <c r="N2" s="24" t="n">
        <v>4791.103200000001</v>
      </c>
      <c r="O2" s="24" t="n">
        <v>4013.006400000002</v>
      </c>
      <c r="P2" s="24" t="n">
        <v>951039.2698585151</v>
      </c>
      <c r="Q2" s="24" t="n">
        <v>475519.6349292576</v>
      </c>
      <c r="R2" s="24" t="n">
        <v>2452475.4995738</v>
      </c>
      <c r="S2" s="24" t="n">
        <v>22824942.47660436</v>
      </c>
      <c r="T2" s="24" t="n">
        <v>58859411.98977121</v>
      </c>
      <c r="U2" t="inlineStr">
        <is>
          <t>target</t>
        </is>
      </c>
      <c r="V2" s="22" t="n">
        <v>0.95</v>
      </c>
      <c r="W2" t="inlineStr">
        <is>
          <t>hcris_nmrc_agency_per_hospital+msp_overlay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1296.828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972.6209999999999</v>
      </c>
      <c r="D5" s="24" t="n">
        <v>1945.242</v>
      </c>
    </row>
    <row r="6">
      <c r="A6" t="inlineStr">
        <is>
          <t>50%</t>
        </is>
      </c>
      <c r="B6" s="24" t="n">
        <v>750</v>
      </c>
      <c r="C6" s="24" t="n">
        <v>778.0967999999999</v>
      </c>
      <c r="D6" s="24" t="n">
        <v>1556.1936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1296.828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1037.4624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86.0778</v>
      </c>
      <c r="D4" s="23" t="n">
        <v>116.79</v>
      </c>
      <c r="E4" s="23" t="n">
        <v>30.71220000000001</v>
      </c>
      <c r="F4" s="24" t="n">
        <v>1556.1936</v>
      </c>
      <c r="G4" s="24" t="n">
        <v>778.0967999999999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050515</t>
        </is>
      </c>
      <c r="B2" t="inlineStr">
        <is>
          <t>KAISER FOUNDATION HOSPITAL - SAN DIEGO</t>
        </is>
      </c>
      <c r="C2" t="inlineStr">
        <is>
          <t>SAN DIEGO</t>
        </is>
      </c>
      <c r="D2" t="inlineStr">
        <is>
          <t>CA</t>
        </is>
      </c>
      <c r="E2" t="inlineStr">
        <is>
          <t>SAN DIEGO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2379</v>
      </c>
      <c r="I2" s="24" t="n">
        <v>185572591</v>
      </c>
      <c r="J2" s="25" t="n">
        <v>0.3416</v>
      </c>
      <c r="K2" s="25" t="n">
        <v>0.1012</v>
      </c>
      <c r="L2" s="24" t="n">
        <v>611.1</v>
      </c>
      <c r="M2" s="24" t="n">
        <v>86.0778</v>
      </c>
      <c r="N2" s="24" t="n">
        <v>116.79</v>
      </c>
      <c r="O2" t="inlineStr">
        <is>
          <t>hcris_nmrc_agency_per_hospital+msp_overlay</t>
        </is>
      </c>
      <c r="P2" s="26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FOUNDATION HOSPITAL - SAN DIEGO</t>
        </is>
      </c>
    </row>
    <row r="4">
      <c r="A4" s="6" t="inlineStr">
        <is>
          <t>Scope</t>
        </is>
      </c>
      <c r="B4" s="29" t="inlineStr">
        <is>
          <t>SAN DIEGO, CA · CCN 050515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