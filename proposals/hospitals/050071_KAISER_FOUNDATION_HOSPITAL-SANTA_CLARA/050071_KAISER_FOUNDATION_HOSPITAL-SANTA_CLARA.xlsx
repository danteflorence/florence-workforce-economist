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KAISER FOUNDATION HOSPITAL-SANTA CLARA</t>
        </is>
      </c>
    </row>
    <row r="2">
      <c r="A2" s="2" t="inlineStr">
        <is>
          <t>Scope: SANTA CLARA, CA · CCN 050071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1944.28728</v>
      </c>
    </row>
    <row r="6">
      <c r="A6" s="6" t="inlineStr">
        <is>
          <t>②  Employer FICA Savings / RN/mo</t>
        </is>
      </c>
      <c r="B6" s="7" t="n">
        <v>972.1436399999999</v>
      </c>
    </row>
    <row r="7">
      <c r="A7" s="6" t="inlineStr">
        <is>
          <t>③  FICA-Adjusted Effective Cost / RN/mo</t>
        </is>
      </c>
      <c r="B7" s="7" t="n">
        <v>972.1436399999999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2883.912720000001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526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1944.28728</v>
      </c>
    </row>
    <row r="26">
      <c r="A26" s="6" t="inlineStr">
        <is>
          <t>− Employer FICA Offset</t>
        </is>
      </c>
      <c r="B26" s="12" t="n">
        <v>-972.1436399999999</v>
      </c>
    </row>
    <row r="27">
      <c r="A27" s="6">
        <f> FICA-Adjusted Effective Cost</f>
        <v/>
      </c>
      <c r="B27" s="12" t="n">
        <v>972.1436399999999</v>
      </c>
    </row>
    <row r="28">
      <c r="A28" s="6" t="inlineStr">
        <is>
          <t>+ Agency Premium Avoided</t>
        </is>
      </c>
      <c r="B28" s="12" t="n">
        <v>3856.388582557035</v>
      </c>
    </row>
    <row r="29">
      <c r="A29" s="6">
        <f> Net Monthly Savings per RN</f>
        <v/>
      </c>
      <c r="B29" s="13" t="n">
        <v>2883.912720000001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1022783.220643671</v>
      </c>
    </row>
    <row r="34">
      <c r="A34" s="6" t="inlineStr">
        <is>
          <t>Total monthly FICA offset to hospitals</t>
        </is>
      </c>
      <c r="B34" s="14" t="n">
        <v>511391.6103218354</v>
      </c>
    </row>
    <row r="35">
      <c r="A35" s="6" t="inlineStr">
        <is>
          <t>Total monthly FICA-adjusted effective cost</t>
        </is>
      </c>
      <c r="B35" s="14" t="n">
        <v>511391.6103218354</v>
      </c>
    </row>
    <row r="36">
      <c r="A36" s="6" t="inlineStr">
        <is>
          <t>Total monthly agency premium avoided</t>
        </is>
      </c>
      <c r="B36" s="14" t="n">
        <v>2028460.394425</v>
      </c>
    </row>
    <row r="37">
      <c r="A37" s="6" t="inlineStr">
        <is>
          <t>Total monthly net hospital savings</t>
        </is>
      </c>
      <c r="B37" s="14" t="n">
        <v>1517068.784103165</v>
      </c>
    </row>
    <row r="38">
      <c r="A38" s="6" t="inlineStr">
        <is>
          <t>Term (24mo) Florence fee</t>
        </is>
      </c>
      <c r="B38" s="14" t="n">
        <v>24546797.2954481</v>
      </c>
    </row>
    <row r="39">
      <c r="A39" s="6" t="inlineStr">
        <is>
          <t>Term (24mo) Hospital net savings</t>
        </is>
      </c>
      <c r="B39" s="14" t="n">
        <v>36409650.81847597</v>
      </c>
    </row>
    <row r="40">
      <c r="A40" s="6" t="inlineStr">
        <is>
          <t>Savings : Fee ratio</t>
        </is>
      </c>
      <c r="B40" s="15" t="n">
        <v>1.48327500244717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202179.16368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8" t="n">
        <v>184500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11439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2931.59787336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14370.59787336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1197.54982278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050071</t>
        </is>
      </c>
      <c r="B2" t="inlineStr">
        <is>
          <t>KAISER FOUNDATION HOSPITAL-SANTA CLARA</t>
        </is>
      </c>
      <c r="C2" t="inlineStr">
        <is>
          <t>SANTA CLARA</t>
        </is>
      </c>
      <c r="D2" t="inlineStr">
        <is>
          <t>CA</t>
        </is>
      </c>
      <c r="E2" t="inlineStr">
        <is>
          <t>Kaiser Permanente</t>
        </is>
      </c>
      <c r="F2" s="22" t="n">
        <v>526</v>
      </c>
      <c r="G2" s="23" t="n">
        <v>108.00169</v>
      </c>
      <c r="H2" s="23" t="n">
        <v>132.72</v>
      </c>
      <c r="I2" s="23" t="n">
        <v>24.71831</v>
      </c>
      <c r="J2" s="24" t="n">
        <v>1944.28728</v>
      </c>
      <c r="K2" s="24" t="n">
        <v>972.1436399999999</v>
      </c>
      <c r="L2" s="24" t="n">
        <v>972.1436399999999</v>
      </c>
      <c r="M2" s="25" t="n">
        <v>0.5</v>
      </c>
      <c r="N2" s="24" t="n">
        <v>3856.05636</v>
      </c>
      <c r="O2" s="24" t="n">
        <v>2883.912720000001</v>
      </c>
      <c r="P2" s="24" t="n">
        <v>1022783.220643671</v>
      </c>
      <c r="Q2" s="24" t="n">
        <v>511391.6103218354</v>
      </c>
      <c r="R2" s="24" t="n">
        <v>1517068.784103165</v>
      </c>
      <c r="S2" s="24" t="n">
        <v>24546797.2954481</v>
      </c>
      <c r="T2" s="24" t="n">
        <v>36409650.81847597</v>
      </c>
      <c r="U2" t="inlineStr">
        <is>
          <t>target</t>
        </is>
      </c>
      <c r="V2" s="22" t="n">
        <v>0.95</v>
      </c>
      <c r="W2" t="inlineStr">
        <is>
          <t>hcris_nmrc_agency_per_hospital+msp_overlay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1620.2394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1215.17955</v>
      </c>
      <c r="D5" s="24" t="n">
        <v>2000</v>
      </c>
    </row>
    <row r="6">
      <c r="A6" t="inlineStr">
        <is>
          <t>50%</t>
        </is>
      </c>
      <c r="B6" s="24" t="n">
        <v>750</v>
      </c>
      <c r="C6" s="24" t="n">
        <v>972.1436399999999</v>
      </c>
      <c r="D6" s="24" t="n">
        <v>1944.28728</v>
      </c>
    </row>
    <row r="7">
      <c r="A7" t="inlineStr">
        <is>
          <t>60%</t>
        </is>
      </c>
      <c r="B7" s="24" t="n">
        <v>750</v>
      </c>
      <c r="C7" s="24" t="n">
        <v>810.1197</v>
      </c>
      <c r="D7" s="24" t="n">
        <v>1620.2394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1296.19152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CA</t>
        </is>
      </c>
      <c r="B4" t="n">
        <v>1</v>
      </c>
      <c r="C4" s="23" t="n">
        <v>108.00169</v>
      </c>
      <c r="D4" s="23" t="n">
        <v>132.72</v>
      </c>
      <c r="E4" s="23" t="n">
        <v>24.71831</v>
      </c>
      <c r="F4" s="24" t="n">
        <v>1944.28728</v>
      </c>
      <c r="G4" s="24" t="n">
        <v>972.1436399999999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050071</t>
        </is>
      </c>
      <c r="B2" t="inlineStr">
        <is>
          <t>KAISER FOUNDATION HOSPITAL-SANTA CLARA</t>
        </is>
      </c>
      <c r="C2" t="inlineStr">
        <is>
          <t>SANTA CLARA</t>
        </is>
      </c>
      <c r="D2" t="inlineStr">
        <is>
          <t>CA</t>
        </is>
      </c>
      <c r="E2" t="inlineStr">
        <is>
          <t>SANTA CLARA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2016</v>
      </c>
      <c r="I2" s="24" t="n">
        <v>181523510</v>
      </c>
      <c r="J2" s="25" t="n">
        <v>0.3371</v>
      </c>
      <c r="K2" s="25" t="n">
        <v>0.2176</v>
      </c>
      <c r="L2" s="24" t="n">
        <v>526</v>
      </c>
      <c r="M2" s="24" t="n">
        <v>108.00169</v>
      </c>
      <c r="N2" s="24" t="n">
        <v>132.72</v>
      </c>
      <c r="O2" t="inlineStr">
        <is>
          <t>hcris_nmrc_agency_per_hospital+msp_overlay</t>
        </is>
      </c>
      <c r="P2" s="26" t="n">
        <v>0.95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KAISER FOUNDATION HOSPITAL-SANTA CLARA</t>
        </is>
      </c>
    </row>
    <row r="4">
      <c r="A4" s="6" t="inlineStr">
        <is>
          <t>Scope</t>
        </is>
      </c>
      <c r="B4" s="29" t="inlineStr">
        <is>
          <t>SANTA CLARA, CA · CCN 050071</t>
        </is>
      </c>
    </row>
    <row r="5">
      <c r="A5" s="6" t="inlineStr">
        <is>
          <t>Generated at</t>
        </is>
      </c>
      <c r="B5" s="29" t="inlineStr">
        <is>
          <t>2026-05-28T11:09:44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2026-05-28T18:09:44Z</dcterms:created>
  <dcterms:modified xsi:type="dcterms:W3CDTF">2026-05-28T18:09:44Z</dcterms:modified>
</cp:coreProperties>
</file>