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UNIVERSITY OF KENTUCKY HOSPITAL</t>
        </is>
      </c>
    </row>
    <row r="2">
      <c r="A2" s="2" t="inlineStr">
        <is>
          <t>Scope: LEXINGTON, KY · CCN 180067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1317.27492</v>
      </c>
    </row>
    <row r="6">
      <c r="A6" s="6" t="inlineStr">
        <is>
          <t>②  Employer FICA Savings / RN/mo</t>
        </is>
      </c>
      <c r="B6" s="7" t="n">
        <v>658.63746</v>
      </c>
    </row>
    <row r="7">
      <c r="A7" s="6" t="inlineStr">
        <is>
          <t>③  FICA-Adjusted Effective Cost / RN/mo</t>
        </is>
      </c>
      <c r="B7" s="7" t="n">
        <v>658.63746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2072.605079999999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788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1317.27492</v>
      </c>
    </row>
    <row r="26">
      <c r="A26" s="6" t="inlineStr">
        <is>
          <t>− Employer FICA Offset</t>
        </is>
      </c>
      <c r="B26" s="12" t="n">
        <v>-658.63746</v>
      </c>
    </row>
    <row r="27">
      <c r="A27" s="6">
        <f> FICA-Adjusted Effective Cost</f>
        <v/>
      </c>
      <c r="B27" s="12" t="n">
        <v>658.63746</v>
      </c>
    </row>
    <row r="28">
      <c r="A28" s="6" t="inlineStr">
        <is>
          <t>+ Agency Premium Avoided</t>
        </is>
      </c>
      <c r="B28" s="12" t="n">
        <v>2731.165788340826</v>
      </c>
    </row>
    <row r="29">
      <c r="A29" s="6">
        <f> Net Monthly Savings per RN</f>
        <v/>
      </c>
      <c r="B29" s="13" t="n">
        <v>2072.605079999999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1037983.467382065</v>
      </c>
    </row>
    <row r="34">
      <c r="A34" s="6" t="inlineStr">
        <is>
          <t>Total monthly FICA offset to hospitals</t>
        </is>
      </c>
      <c r="B34" s="14" t="n">
        <v>518991.7336910324</v>
      </c>
    </row>
    <row r="35">
      <c r="A35" s="6" t="inlineStr">
        <is>
          <t>Total monthly FICA-adjusted effective cost</t>
        </is>
      </c>
      <c r="B35" s="14" t="n">
        <v>518991.7336910324</v>
      </c>
    </row>
    <row r="36">
      <c r="A36" s="6" t="inlineStr">
        <is>
          <t>Total monthly agency premium avoided</t>
        </is>
      </c>
      <c r="B36" s="14" t="n">
        <v>2152158.64121257</v>
      </c>
    </row>
    <row r="37">
      <c r="A37" s="6" t="inlineStr">
        <is>
          <t>Total monthly net hospital savings</t>
        </is>
      </c>
      <c r="B37" s="14" t="n">
        <v>1633166.907521538</v>
      </c>
    </row>
    <row r="38">
      <c r="A38" s="6" t="inlineStr">
        <is>
          <t>Term (24mo) Florence fee</t>
        </is>
      </c>
      <c r="B38" s="14" t="n">
        <v>24911603.21716956</v>
      </c>
    </row>
    <row r="39">
      <c r="A39" s="6" t="inlineStr">
        <is>
          <t>Term (24mo) Hospital net savings</t>
        </is>
      </c>
      <c r="B39" s="14" t="n">
        <v>39196005.78051691</v>
      </c>
    </row>
    <row r="40">
      <c r="A40" s="6" t="inlineStr">
        <is>
          <t>Savings : Fee ratio</t>
        </is>
      </c>
      <c r="B40" s="15" t="n">
        <v>1.573403583816808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137146.52952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137146.52952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8503.084830239999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1988.62467804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10491.70950828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874.3091256899999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180067</t>
        </is>
      </c>
      <c r="B2" t="inlineStr">
        <is>
          <t>UNIVERSITY OF KENTUCKY HOSPITAL</t>
        </is>
      </c>
      <c r="C2" t="inlineStr">
        <is>
          <t>LEXINGTON</t>
        </is>
      </c>
      <c r="D2" t="inlineStr">
        <is>
          <t>KY</t>
        </is>
      </c>
      <c r="E2" t="inlineStr">
        <is>
          <t>Independent / Unknown</t>
        </is>
      </c>
      <c r="F2" s="22" t="n">
        <v>788</v>
      </c>
      <c r="G2" s="23" t="n">
        <v>73.262035</v>
      </c>
      <c r="H2" s="23" t="n">
        <v>90.77</v>
      </c>
      <c r="I2" s="23" t="n">
        <v>17.507965</v>
      </c>
      <c r="J2" s="24" t="n">
        <v>1317.27492</v>
      </c>
      <c r="K2" s="24" t="n">
        <v>658.63746</v>
      </c>
      <c r="L2" s="24" t="n">
        <v>658.63746</v>
      </c>
      <c r="M2" s="25" t="n">
        <v>0.5</v>
      </c>
      <c r="N2" s="24" t="n">
        <v>2731.24254</v>
      </c>
      <c r="O2" s="24" t="n">
        <v>2072.605079999999</v>
      </c>
      <c r="P2" s="24" t="n">
        <v>1037983.467382065</v>
      </c>
      <c r="Q2" s="24" t="n">
        <v>518991.7336910324</v>
      </c>
      <c r="R2" s="24" t="n">
        <v>1633166.907521538</v>
      </c>
      <c r="S2" s="24" t="n">
        <v>24911603.21716956</v>
      </c>
      <c r="T2" s="24" t="n">
        <v>39196005.78051691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1097.7291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823.296825</v>
      </c>
      <c r="D5" s="24" t="n">
        <v>1646.59365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1317.27492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1097.7291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878.1832800000001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KY</t>
        </is>
      </c>
      <c r="B4" t="n">
        <v>1</v>
      </c>
      <c r="C4" s="23" t="n">
        <v>73.262035</v>
      </c>
      <c r="D4" s="23" t="n">
        <v>90.77</v>
      </c>
      <c r="E4" s="23" t="n">
        <v>17.507965</v>
      </c>
      <c r="F4" s="24" t="n">
        <v>1317.27492</v>
      </c>
      <c r="G4" s="24" t="n">
        <v>658.63746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180067</t>
        </is>
      </c>
      <c r="B2" t="inlineStr">
        <is>
          <t>UNIVERSITY OF KENTUCKY HOSPITAL</t>
        </is>
      </c>
      <c r="C2" t="inlineStr">
        <is>
          <t>LEXINGTON</t>
        </is>
      </c>
      <c r="D2" t="inlineStr">
        <is>
          <t>KY</t>
        </is>
      </c>
      <c r="E2" t="inlineStr">
        <is>
          <t>FAYETTE</t>
        </is>
      </c>
      <c r="F2" t="inlineStr">
        <is>
          <t>Acute Care Hospitals</t>
        </is>
      </c>
      <c r="G2" t="inlineStr">
        <is>
          <t>Government - State</t>
        </is>
      </c>
      <c r="H2" s="24" t="n">
        <v>14900</v>
      </c>
      <c r="I2" s="24" t="n">
        <v>185964350</v>
      </c>
      <c r="J2" s="25" t="n">
        <v>0.1864</v>
      </c>
      <c r="K2" s="25" t="n">
        <v>-0.2011</v>
      </c>
      <c r="L2" s="24" t="n">
        <v>788</v>
      </c>
      <c r="M2" s="24" t="n">
        <v>73.262035</v>
      </c>
      <c r="N2" s="24" t="n">
        <v>90.77</v>
      </c>
      <c r="O2" t="inlineStr">
        <is>
          <t>hcris_nmrc_agency_per_hospital</t>
        </is>
      </c>
      <c r="P2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UNIVERSITY OF KENTUCKY HOSPITAL</t>
        </is>
      </c>
    </row>
    <row r="4">
      <c r="A4" s="6" t="inlineStr">
        <is>
          <t>Scope</t>
        </is>
      </c>
      <c r="B4" s="29" t="inlineStr">
        <is>
          <t>LEXINGTON, KY · CCN 180067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