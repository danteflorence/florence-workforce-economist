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MEMORIAL MEDICAL CENTER</t>
        </is>
      </c>
    </row>
    <row r="2">
      <c r="A2" s="2" t="inlineStr">
        <is>
          <t>Scope: MODESTO, CA · CCN 050557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1574.0946</v>
      </c>
    </row>
    <row r="6">
      <c r="A6" s="6" t="inlineStr">
        <is>
          <t>②  Employer FICA Savings / RN/mo</t>
        </is>
      </c>
      <c r="B6" s="7" t="n">
        <v>787.0473000000001</v>
      </c>
    </row>
    <row r="7">
      <c r="A7" s="6" t="inlineStr">
        <is>
          <t>③  FICA-Adjusted Effective Cost / RN/mo</t>
        </is>
      </c>
      <c r="B7" s="7" t="n">
        <v>787.0473000000001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7980.905399999998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548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1574.0946</v>
      </c>
    </row>
    <row r="26">
      <c r="A26" s="6" t="inlineStr">
        <is>
          <t>− Employer FICA Offset</t>
        </is>
      </c>
      <c r="B26" s="12" t="n">
        <v>-787.0473000000001</v>
      </c>
    </row>
    <row r="27">
      <c r="A27" s="6">
        <f> FICA-Adjusted Effective Cost</f>
        <v/>
      </c>
      <c r="B27" s="12" t="n">
        <v>787.0473000000001</v>
      </c>
    </row>
    <row r="28">
      <c r="A28" s="6" t="inlineStr">
        <is>
          <t>+ Agency Premium Avoided</t>
        </is>
      </c>
      <c r="B28" s="12" t="n">
        <v>8767.952699999998</v>
      </c>
    </row>
    <row r="29">
      <c r="A29" s="6">
        <f> Net Monthly Savings per RN</f>
        <v/>
      </c>
      <c r="B29" s="13" t="n">
        <v>7980.905399999998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862289.02188</v>
      </c>
    </row>
    <row r="34">
      <c r="A34" s="6" t="inlineStr">
        <is>
          <t>Total monthly FICA offset to hospitals</t>
        </is>
      </c>
      <c r="B34" s="14" t="n">
        <v>431144.51094</v>
      </c>
    </row>
    <row r="35">
      <c r="A35" s="6" t="inlineStr">
        <is>
          <t>Total monthly FICA-adjusted effective cost</t>
        </is>
      </c>
      <c r="B35" s="14" t="n">
        <v>431144.51094</v>
      </c>
    </row>
    <row r="36">
      <c r="A36" s="6" t="inlineStr">
        <is>
          <t>Total monthly agency premium avoided</t>
        </is>
      </c>
      <c r="B36" s="14" t="n">
        <v>4803084.489059999</v>
      </c>
    </row>
    <row r="37">
      <c r="A37" s="6" t="inlineStr">
        <is>
          <t>Total monthly net hospital savings</t>
        </is>
      </c>
      <c r="B37" s="14" t="n">
        <v>4371939.978119998</v>
      </c>
    </row>
    <row r="38">
      <c r="A38" s="6" t="inlineStr">
        <is>
          <t>Term (24mo) Florence fee</t>
        </is>
      </c>
      <c r="B38" s="14" t="n">
        <v>20694936.52512</v>
      </c>
    </row>
    <row r="39">
      <c r="A39" s="6" t="inlineStr">
        <is>
          <t>Term (24mo) Hospital net savings</t>
        </is>
      </c>
      <c r="B39" s="14" t="n">
        <v>104926559.47488</v>
      </c>
    </row>
    <row r="40">
      <c r="A40" s="6" t="inlineStr">
        <is>
          <t>Savings : Fee ratio</t>
        </is>
      </c>
      <c r="B40" s="15" t="n">
        <v>5.07015613928159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162274.6476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162274.6476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10061.0281512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2352.9823902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12414.0105414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1034.50087845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050557</t>
        </is>
      </c>
      <c r="B2" t="inlineStr">
        <is>
          <t>MEMORIAL MEDICAL CENTER</t>
        </is>
      </c>
      <c r="C2" t="inlineStr">
        <is>
          <t>MODESTO</t>
        </is>
      </c>
      <c r="D2" t="inlineStr">
        <is>
          <t>CA</t>
        </is>
      </c>
      <c r="E2" t="inlineStr">
        <is>
          <t>Independent / Unknown</t>
        </is>
      </c>
      <c r="F2" s="22" t="n">
        <v>547.8</v>
      </c>
      <c r="G2" s="23" t="n">
        <v>86.685175</v>
      </c>
      <c r="H2" s="23" t="n">
        <v>142.89</v>
      </c>
      <c r="I2" s="23" t="n">
        <v>56.20482499999999</v>
      </c>
      <c r="J2" s="24" t="n">
        <v>1574.0946</v>
      </c>
      <c r="K2" s="24" t="n">
        <v>787.0473000000001</v>
      </c>
      <c r="L2" s="24" t="n">
        <v>787.0473000000001</v>
      </c>
      <c r="M2" s="25" t="n">
        <v>0.5</v>
      </c>
      <c r="N2" s="24" t="n">
        <v>8767.952699999998</v>
      </c>
      <c r="O2" s="24" t="n">
        <v>7980.905399999998</v>
      </c>
      <c r="P2" s="24" t="n">
        <v>862289.02188</v>
      </c>
      <c r="Q2" s="24" t="n">
        <v>431144.51094</v>
      </c>
      <c r="R2" s="24" t="n">
        <v>4371939.978119998</v>
      </c>
      <c r="S2" s="24" t="n">
        <v>20694936.52512</v>
      </c>
      <c r="T2" s="24" t="n">
        <v>104926559.47488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1311.7455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983.809125</v>
      </c>
      <c r="D5" s="24" t="n">
        <v>1967.61825</v>
      </c>
    </row>
    <row r="6">
      <c r="A6" t="inlineStr">
        <is>
          <t>50%</t>
        </is>
      </c>
      <c r="B6" s="24" t="n">
        <v>750</v>
      </c>
      <c r="C6" s="24" t="n">
        <v>787.0473000000001</v>
      </c>
      <c r="D6" s="24" t="n">
        <v>1574.0946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1311.7455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1049.3964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</v>
      </c>
      <c r="C4" s="23" t="n">
        <v>86.685175</v>
      </c>
      <c r="D4" s="23" t="n">
        <v>142.89</v>
      </c>
      <c r="E4" s="23" t="n">
        <v>56.20482499999999</v>
      </c>
      <c r="F4" s="24" t="n">
        <v>1574.0946</v>
      </c>
      <c r="G4" s="24" t="n">
        <v>787.0473000000001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050557</t>
        </is>
      </c>
      <c r="B2" t="inlineStr">
        <is>
          <t>MEMORIAL MEDICAL CENTER</t>
        </is>
      </c>
      <c r="C2" t="inlineStr">
        <is>
          <t>MODESTO</t>
        </is>
      </c>
      <c r="D2" t="inlineStr">
        <is>
          <t>CA</t>
        </is>
      </c>
      <c r="E2" t="inlineStr">
        <is>
          <t>STANISLAUS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2029</v>
      </c>
      <c r="I2" t="inlineStr"/>
      <c r="J2" t="inlineStr"/>
      <c r="K2" s="25" t="n">
        <v>0.1839</v>
      </c>
      <c r="L2" s="24" t="n">
        <v>547.8</v>
      </c>
      <c r="M2" s="24" t="n">
        <v>86.685175</v>
      </c>
      <c r="N2" s="24" t="n">
        <v>142.89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MEMORIAL MEDICAL CENTER</t>
        </is>
      </c>
    </row>
    <row r="4">
      <c r="A4" s="6" t="inlineStr">
        <is>
          <t>Scope</t>
        </is>
      </c>
      <c r="B4" s="29" t="inlineStr">
        <is>
          <t>MODESTO, CA · CCN 050557</t>
        </is>
      </c>
    </row>
    <row r="5">
      <c r="A5" s="6" t="inlineStr">
        <is>
          <t>Generated at</t>
        </is>
      </c>
      <c r="B5" s="29" t="inlineStr">
        <is>
          <t>2026-05-28T11:09:45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2026-05-28T18:09:45Z</dcterms:created>
  <dcterms:modified xsi:type="dcterms:W3CDTF">2026-05-28T18:09:45Z</dcterms:modified>
</cp:coreProperties>
</file>