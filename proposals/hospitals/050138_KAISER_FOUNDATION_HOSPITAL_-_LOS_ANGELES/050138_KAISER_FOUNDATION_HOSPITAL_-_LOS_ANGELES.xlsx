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 - LOS ANGELES</t>
        </is>
      </c>
    </row>
    <row r="2">
      <c r="A2" s="2" t="inlineStr">
        <is>
          <t>Scope: LOS ANGELES, CA · CCN 050138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4446.304200000001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581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5244.237351766403</v>
      </c>
    </row>
    <row r="29">
      <c r="A29" s="6">
        <f> Net Monthly Savings per RN</f>
        <v/>
      </c>
      <c r="B29" s="13" t="n">
        <v>4446.304200000001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927693.4648217089</v>
      </c>
    </row>
    <row r="34">
      <c r="A34" s="6" t="inlineStr">
        <is>
          <t>Total monthly FICA offset to hospitals</t>
        </is>
      </c>
      <c r="B34" s="14" t="n">
        <v>463846.7324108544</v>
      </c>
    </row>
    <row r="35">
      <c r="A35" s="6" t="inlineStr">
        <is>
          <t>Total monthly FICA-adjusted effective cost</t>
        </is>
      </c>
      <c r="B35" s="14" t="n">
        <v>463846.7324108544</v>
      </c>
    </row>
    <row r="36">
      <c r="A36" s="6" t="inlineStr">
        <is>
          <t>Total monthly agency premium avoided</t>
        </is>
      </c>
      <c r="B36" s="14" t="n">
        <v>3048999.596316986</v>
      </c>
    </row>
    <row r="37">
      <c r="A37" s="6" t="inlineStr">
        <is>
          <t>Total monthly net hospital savings</t>
        </is>
      </c>
      <c r="B37" s="14" t="n">
        <v>2585152.863906132</v>
      </c>
    </row>
    <row r="38">
      <c r="A38" s="6" t="inlineStr">
        <is>
          <t>Term (24mo) Florence fee</t>
        </is>
      </c>
      <c r="B38" s="14" t="n">
        <v>22264643.15572101</v>
      </c>
    </row>
    <row r="39">
      <c r="A39" s="6" t="inlineStr">
        <is>
          <t>Term (24mo) Hospital net savings</t>
        </is>
      </c>
      <c r="B39" s="14" t="n">
        <v>62043668.73374717</v>
      </c>
    </row>
    <row r="40">
      <c r="A40" s="6" t="inlineStr">
        <is>
          <t>Savings : Fee ratio</t>
        </is>
      </c>
      <c r="B40" s="15" t="n">
        <v>2.786645548271666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165155.3748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165155.3748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10239.6332376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2394.7529346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12634.3861722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1052.86551435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050138</t>
        </is>
      </c>
      <c r="B2" t="inlineStr">
        <is>
          <t>KAISER FOUNDATION HOSPITAL - LOS ANGELES</t>
        </is>
      </c>
      <c r="C2" t="inlineStr">
        <is>
          <t>LOS ANGELES</t>
        </is>
      </c>
      <c r="D2" t="inlineStr">
        <is>
          <t>CA</t>
        </is>
      </c>
      <c r="E2" t="inlineStr">
        <is>
          <t>Kaiser Permanente</t>
        </is>
      </c>
      <c r="F2" s="22" t="n">
        <v>581.4</v>
      </c>
      <c r="G2" s="23" t="n">
        <v>88.224025</v>
      </c>
      <c r="H2" s="23" t="n">
        <v>121.84</v>
      </c>
      <c r="I2" s="23" t="n">
        <v>33.61597500000001</v>
      </c>
      <c r="J2" s="24" t="n">
        <v>1595.5758</v>
      </c>
      <c r="K2" s="24" t="n">
        <v>797.7878999999999</v>
      </c>
      <c r="L2" s="24" t="n">
        <v>797.7878999999999</v>
      </c>
      <c r="M2" s="25" t="n">
        <v>0.5</v>
      </c>
      <c r="N2" s="24" t="n">
        <v>5244.092100000001</v>
      </c>
      <c r="O2" s="24" t="n">
        <v>4446.304200000001</v>
      </c>
      <c r="P2" s="24" t="n">
        <v>927693.4648217089</v>
      </c>
      <c r="Q2" s="24" t="n">
        <v>463846.7324108544</v>
      </c>
      <c r="R2" s="24" t="n">
        <v>2585152.863906132</v>
      </c>
      <c r="S2" s="24" t="n">
        <v>22264643.15572101</v>
      </c>
      <c r="T2" s="24" t="n">
        <v>62043668.73374717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88.224025</v>
      </c>
      <c r="D4" s="23" t="n">
        <v>121.84</v>
      </c>
      <c r="E4" s="23" t="n">
        <v>33.61597500000001</v>
      </c>
      <c r="F4" s="24" t="n">
        <v>1595.5758</v>
      </c>
      <c r="G4" s="24" t="n">
        <v>797.7878999999999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050138</t>
        </is>
      </c>
      <c r="B2" t="inlineStr">
        <is>
          <t>KAISER FOUNDATION HOSPITAL - LOS ANGELES</t>
        </is>
      </c>
      <c r="C2" t="inlineStr">
        <is>
          <t>LOS ANGELES</t>
        </is>
      </c>
      <c r="D2" t="inlineStr">
        <is>
          <t>CA</t>
        </is>
      </c>
      <c r="E2" t="inlineStr">
        <is>
          <t>LOS ANGELES</t>
        </is>
      </c>
      <c r="F2" t="inlineStr">
        <is>
          <t>Acute Care Hospitals</t>
        </is>
      </c>
      <c r="G2" t="inlineStr">
        <is>
          <t>Voluntary non-profit - Other</t>
        </is>
      </c>
      <c r="H2" s="24" t="n">
        <v>2315</v>
      </c>
      <c r="I2" s="24" t="n">
        <v>184183319</v>
      </c>
      <c r="J2" s="25" t="n">
        <v>0.3601</v>
      </c>
      <c r="K2" s="25" t="n">
        <v>0.1856</v>
      </c>
      <c r="L2" s="24" t="n">
        <v>581.4</v>
      </c>
      <c r="M2" s="24" t="n">
        <v>88.224025</v>
      </c>
      <c r="N2" s="24" t="n">
        <v>121.84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 - LOS ANGELES</t>
        </is>
      </c>
    </row>
    <row r="4">
      <c r="A4" s="6" t="inlineStr">
        <is>
          <t>Scope</t>
        </is>
      </c>
      <c r="B4" s="29" t="inlineStr">
        <is>
          <t>LOS ANGELES, CA · CCN 050138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