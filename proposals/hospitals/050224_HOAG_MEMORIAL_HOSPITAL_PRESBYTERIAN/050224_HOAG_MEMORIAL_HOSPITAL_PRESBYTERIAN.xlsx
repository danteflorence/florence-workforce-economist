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HOAG MEMORIAL HOSPITAL PRESBYTERIAN</t>
        </is>
      </c>
    </row>
    <row r="2">
      <c r="A2" s="2" t="inlineStr">
        <is>
          <t>Scope: NEWPORT BEACH, CA · CCN 050224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9447.664200000003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1420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10245.4521</v>
      </c>
    </row>
    <row r="29">
      <c r="A29" s="6">
        <f> Net Monthly Savings per RN</f>
        <v/>
      </c>
      <c r="B29" s="13" t="n">
        <v>9447.664200000003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2265398.52084</v>
      </c>
    </row>
    <row r="34">
      <c r="A34" s="6" t="inlineStr">
        <is>
          <t>Total monthly FICA offset to hospitals</t>
        </is>
      </c>
      <c r="B34" s="14" t="n">
        <v>1132699.26042</v>
      </c>
    </row>
    <row r="35">
      <c r="A35" s="6" t="inlineStr">
        <is>
          <t>Total monthly FICA-adjusted effective cost</t>
        </is>
      </c>
      <c r="B35" s="14" t="n">
        <v>1132699.26042</v>
      </c>
    </row>
    <row r="36">
      <c r="A36" s="6" t="inlineStr">
        <is>
          <t>Total monthly agency premium avoided</t>
        </is>
      </c>
      <c r="B36" s="14" t="n">
        <v>14546492.89158001</v>
      </c>
    </row>
    <row r="37">
      <c r="A37" s="6" t="inlineStr">
        <is>
          <t>Total monthly net hospital savings</t>
        </is>
      </c>
      <c r="B37" s="14" t="n">
        <v>13413793.63116</v>
      </c>
    </row>
    <row r="38">
      <c r="A38" s="6" t="inlineStr">
        <is>
          <t>Term (24mo) Florence fee</t>
        </is>
      </c>
      <c r="B38" s="14" t="n">
        <v>54369564.50015999</v>
      </c>
    </row>
    <row r="39">
      <c r="A39" s="6" t="inlineStr">
        <is>
          <t>Term (24mo) Hospital net savings</t>
        </is>
      </c>
      <c r="B39" s="14" t="n">
        <v>321931047.1478401</v>
      </c>
    </row>
    <row r="40">
      <c r="A40" s="6" t="inlineStr">
        <is>
          <t>Savings : Fee ratio</t>
        </is>
      </c>
      <c r="B40" s="15" t="n">
        <v>5.921162880509972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166203.6948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166203.6948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10304.6290776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2409.9535746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12714.5826522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1059.54855435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050224</t>
        </is>
      </c>
      <c r="B2" t="inlineStr">
        <is>
          <t>HOAG MEMORIAL HOSPITAL PRESBYTERIAN</t>
        </is>
      </c>
      <c r="C2" t="inlineStr">
        <is>
          <t>NEWPORT BEACH</t>
        </is>
      </c>
      <c r="D2" t="inlineStr">
        <is>
          <t>CA</t>
        </is>
      </c>
      <c r="E2" t="inlineStr">
        <is>
          <t>Independent / Unknown</t>
        </is>
      </c>
      <c r="F2" s="22" t="n">
        <v>1419.8</v>
      </c>
      <c r="G2" s="23" t="n">
        <v>88.78402499999999</v>
      </c>
      <c r="H2" s="23" t="n">
        <v>154.46</v>
      </c>
      <c r="I2" s="23" t="n">
        <v>65.67597500000002</v>
      </c>
      <c r="J2" s="24" t="n">
        <v>1595.5758</v>
      </c>
      <c r="K2" s="24" t="n">
        <v>797.7878999999999</v>
      </c>
      <c r="L2" s="24" t="n">
        <v>797.7878999999999</v>
      </c>
      <c r="M2" s="25" t="n">
        <v>0.5</v>
      </c>
      <c r="N2" s="24" t="n">
        <v>10245.4521</v>
      </c>
      <c r="O2" s="24" t="n">
        <v>9447.664200000003</v>
      </c>
      <c r="P2" s="24" t="n">
        <v>2265398.52084</v>
      </c>
      <c r="Q2" s="24" t="n">
        <v>1132699.26042</v>
      </c>
      <c r="R2" s="24" t="n">
        <v>13413793.63116</v>
      </c>
      <c r="S2" s="24" t="n">
        <v>54369564.50015999</v>
      </c>
      <c r="T2" s="24" t="n">
        <v>321931047.1478401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88.78402499999999</v>
      </c>
      <c r="D4" s="23" t="n">
        <v>154.46</v>
      </c>
      <c r="E4" s="23" t="n">
        <v>65.67597500000002</v>
      </c>
      <c r="F4" s="24" t="n">
        <v>1595.5758</v>
      </c>
      <c r="G4" s="24" t="n">
        <v>797.7878999999999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050224</t>
        </is>
      </c>
      <c r="B2" t="inlineStr">
        <is>
          <t>HOAG MEMORIAL HOSPITAL PRESBYTERIAN</t>
        </is>
      </c>
      <c r="C2" t="inlineStr">
        <is>
          <t>NEWPORT BEACH</t>
        </is>
      </c>
      <c r="D2" t="inlineStr">
        <is>
          <t>CA</t>
        </is>
      </c>
      <c r="E2" t="inlineStr">
        <is>
          <t>ORANGE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5259</v>
      </c>
      <c r="I2" t="inlineStr"/>
      <c r="J2" t="inlineStr"/>
      <c r="K2" s="25" t="n">
        <v>0.1356</v>
      </c>
      <c r="L2" s="24" t="n">
        <v>1419.8</v>
      </c>
      <c r="M2" s="24" t="n">
        <v>88.78402499999999</v>
      </c>
      <c r="N2" s="24" t="n">
        <v>154.46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HOAG MEMORIAL HOSPITAL PRESBYTERIAN</t>
        </is>
      </c>
    </row>
    <row r="4">
      <c r="A4" s="6" t="inlineStr">
        <is>
          <t>Scope</t>
        </is>
      </c>
      <c r="B4" s="29" t="inlineStr">
        <is>
          <t>NEWPORT BEACH, CA · CCN 050224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