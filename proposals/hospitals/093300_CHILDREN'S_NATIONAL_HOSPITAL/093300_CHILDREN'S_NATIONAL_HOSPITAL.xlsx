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CHILDREN'S NATIONAL HOSPITAL</t>
        </is>
      </c>
    </row>
    <row r="2">
      <c r="A2" s="2" t="inlineStr">
        <is>
          <t>Scope: WASHINGTON, DC · CCN 093300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1198.1736</v>
      </c>
    </row>
    <row r="6">
      <c r="A6" s="6" t="inlineStr">
        <is>
          <t>②  Employer FICA Savings / RN/mo</t>
        </is>
      </c>
      <c r="B6" s="7" t="n">
        <v>599.0868</v>
      </c>
    </row>
    <row r="7">
      <c r="A7" s="6" t="inlineStr">
        <is>
          <t>③  FICA-Adjusted Effective Cost / RN/mo</t>
        </is>
      </c>
      <c r="B7" s="7" t="n">
        <v>599.0868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6932.546399999998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869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1198.1736</v>
      </c>
    </row>
    <row r="26">
      <c r="A26" s="6" t="inlineStr">
        <is>
          <t>− Employer FICA Offset</t>
        </is>
      </c>
      <c r="B26" s="12" t="n">
        <v>-599.0868</v>
      </c>
    </row>
    <row r="27">
      <c r="A27" s="6">
        <f> FICA-Adjusted Effective Cost</f>
        <v/>
      </c>
      <c r="B27" s="12" t="n">
        <v>599.0868</v>
      </c>
    </row>
    <row r="28">
      <c r="A28" s="6" t="inlineStr">
        <is>
          <t>+ Agency Premium Avoided</t>
        </is>
      </c>
      <c r="B28" s="12" t="n">
        <v>7531.633199999998</v>
      </c>
    </row>
    <row r="29">
      <c r="A29" s="6">
        <f> Net Monthly Savings per RN</f>
        <v/>
      </c>
      <c r="B29" s="13" t="n">
        <v>6932.546399999998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1041332.67576</v>
      </c>
    </row>
    <row r="34">
      <c r="A34" s="6" t="inlineStr">
        <is>
          <t>Total monthly FICA offset to hospitals</t>
        </is>
      </c>
      <c r="B34" s="14" t="n">
        <v>520666.3378800001</v>
      </c>
    </row>
    <row r="35">
      <c r="A35" s="6" t="inlineStr">
        <is>
          <t>Total monthly FICA-adjusted effective cost</t>
        </is>
      </c>
      <c r="B35" s="14" t="n">
        <v>520666.3378800001</v>
      </c>
    </row>
    <row r="36">
      <c r="A36" s="6" t="inlineStr">
        <is>
          <t>Total monthly agency premium avoided</t>
        </is>
      </c>
      <c r="B36" s="14" t="n">
        <v>6545742.414119999</v>
      </c>
    </row>
    <row r="37">
      <c r="A37" s="6" t="inlineStr">
        <is>
          <t>Total monthly net hospital savings</t>
        </is>
      </c>
      <c r="B37" s="14" t="n">
        <v>6025076.076239998</v>
      </c>
    </row>
    <row r="38">
      <c r="A38" s="6" t="inlineStr">
        <is>
          <t>Term (24mo) Florence fee</t>
        </is>
      </c>
      <c r="B38" s="14" t="n">
        <v>24991984.21824</v>
      </c>
    </row>
    <row r="39">
      <c r="A39" s="6" t="inlineStr">
        <is>
          <t>Term (24mo) Hospital net savings</t>
        </is>
      </c>
      <c r="B39" s="14" t="n">
        <v>144601825.82976</v>
      </c>
    </row>
    <row r="40">
      <c r="A40" s="6" t="inlineStr">
        <is>
          <t>Savings : Fee ratio</t>
        </is>
      </c>
      <c r="B40" s="15" t="n">
        <v>5.785928182694057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129355.7616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129355.7616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8020.057219200001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1875.6585432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9895.715762400001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824.6429802000001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093300</t>
        </is>
      </c>
      <c r="B2" t="inlineStr">
        <is>
          <t>CHILDREN'S NATIONAL HOSPITAL</t>
        </is>
      </c>
      <c r="C2" t="inlineStr">
        <is>
          <t>WASHINGTON</t>
        </is>
      </c>
      <c r="D2" t="inlineStr">
        <is>
          <t>DC</t>
        </is>
      </c>
      <c r="E2" t="inlineStr">
        <is>
          <t>Independent / Unknown</t>
        </is>
      </c>
      <c r="F2" s="22" t="n">
        <v>869.1</v>
      </c>
      <c r="G2" s="23" t="n">
        <v>69.1003</v>
      </c>
      <c r="H2" s="23" t="n">
        <v>117.38</v>
      </c>
      <c r="I2" s="23" t="n">
        <v>48.27969999999999</v>
      </c>
      <c r="J2" s="24" t="n">
        <v>1198.1736</v>
      </c>
      <c r="K2" s="24" t="n">
        <v>599.0868</v>
      </c>
      <c r="L2" s="24" t="n">
        <v>599.0868</v>
      </c>
      <c r="M2" s="25" t="n">
        <v>0.5</v>
      </c>
      <c r="N2" s="24" t="n">
        <v>7531.633199999998</v>
      </c>
      <c r="O2" s="24" t="n">
        <v>6932.546399999998</v>
      </c>
      <c r="P2" s="24" t="n">
        <v>1041332.67576</v>
      </c>
      <c r="Q2" s="24" t="n">
        <v>520666.3378800001</v>
      </c>
      <c r="R2" s="24" t="n">
        <v>6025076.076239998</v>
      </c>
      <c r="S2" s="24" t="n">
        <v>24991984.21824</v>
      </c>
      <c r="T2" s="24" t="n">
        <v>144601825.82976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998.4780000000001</v>
      </c>
      <c r="D4" s="24" t="n">
        <v>1996.956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1497.717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1198.1736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998.4780000000001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798.7824000000001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DC</t>
        </is>
      </c>
      <c r="B4" t="n">
        <v>1</v>
      </c>
      <c r="C4" s="23" t="n">
        <v>69.1003</v>
      </c>
      <c r="D4" s="23" t="n">
        <v>117.38</v>
      </c>
      <c r="E4" s="23" t="n">
        <v>48.27969999999999</v>
      </c>
      <c r="F4" s="24" t="n">
        <v>1198.1736</v>
      </c>
      <c r="G4" s="24" t="n">
        <v>599.0868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093300</t>
        </is>
      </c>
      <c r="B2" t="inlineStr">
        <is>
          <t>CHILDREN'S NATIONAL HOSPITAL</t>
        </is>
      </c>
      <c r="C2" t="inlineStr">
        <is>
          <t>WASHINGTON</t>
        </is>
      </c>
      <c r="D2" t="inlineStr">
        <is>
          <t>DC</t>
        </is>
      </c>
      <c r="E2" t="inlineStr">
        <is>
          <t>THE DISTRICT</t>
        </is>
      </c>
      <c r="F2" t="inlineStr">
        <is>
          <t>Childrens</t>
        </is>
      </c>
      <c r="G2" t="inlineStr">
        <is>
          <t>Voluntary non-profit - Private</t>
        </is>
      </c>
      <c r="H2" s="24" t="n">
        <v>3219</v>
      </c>
      <c r="I2" t="inlineStr"/>
      <c r="J2" t="inlineStr"/>
      <c r="K2" s="25" t="n">
        <v>0.3277</v>
      </c>
      <c r="L2" s="24" t="n">
        <v>869.1</v>
      </c>
      <c r="M2" s="24" t="n">
        <v>69.1003</v>
      </c>
      <c r="N2" s="24" t="n">
        <v>117.38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CHILDREN'S NATIONAL HOSPITAL</t>
        </is>
      </c>
    </row>
    <row r="4">
      <c r="A4" s="6" t="inlineStr">
        <is>
          <t>Scope</t>
        </is>
      </c>
      <c r="B4" s="29" t="inlineStr">
        <is>
          <t>WASHINGTON, DC · CCN 093300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