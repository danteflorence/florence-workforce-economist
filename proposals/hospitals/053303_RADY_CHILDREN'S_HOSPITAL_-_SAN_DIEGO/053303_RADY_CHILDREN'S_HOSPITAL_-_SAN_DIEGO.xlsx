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RADY CHILDREN'S HOSPITAL - SAN DIEGO</t>
        </is>
      </c>
    </row>
    <row r="2">
      <c r="A2" s="2" t="inlineStr">
        <is>
          <t>Scope: SAN DIEGO, CA · CCN 053303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1556.1936</v>
      </c>
    </row>
    <row r="6">
      <c r="A6" s="6" t="inlineStr">
        <is>
          <t>②  Employer FICA Savings / RN/mo</t>
        </is>
      </c>
      <c r="B6" s="7" t="n">
        <v>778.0967999999999</v>
      </c>
    </row>
    <row r="7">
      <c r="A7" s="6" t="inlineStr">
        <is>
          <t>③  FICA-Adjusted Effective Cost / RN/mo</t>
        </is>
      </c>
      <c r="B7" s="7" t="n">
        <v>778.0967999999999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7512.086399999996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1093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1556.1936</v>
      </c>
    </row>
    <row r="26">
      <c r="A26" s="6" t="inlineStr">
        <is>
          <t>− Employer FICA Offset</t>
        </is>
      </c>
      <c r="B26" s="12" t="n">
        <v>-778.0967999999999</v>
      </c>
    </row>
    <row r="27">
      <c r="A27" s="6">
        <f> FICA-Adjusted Effective Cost</f>
        <v/>
      </c>
      <c r="B27" s="12" t="n">
        <v>778.0967999999999</v>
      </c>
    </row>
    <row r="28">
      <c r="A28" s="6" t="inlineStr">
        <is>
          <t>+ Agency Premium Avoided</t>
        </is>
      </c>
      <c r="B28" s="12" t="n">
        <v>8290.183199999996</v>
      </c>
    </row>
    <row r="29">
      <c r="A29" s="6">
        <f> Net Monthly Savings per RN</f>
        <v/>
      </c>
      <c r="B29" s="13" t="n">
        <v>7512.086399999996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1700452.74672</v>
      </c>
    </row>
    <row r="34">
      <c r="A34" s="6" t="inlineStr">
        <is>
          <t>Total monthly FICA offset to hospitals</t>
        </is>
      </c>
      <c r="B34" s="14" t="n">
        <v>850226.37336</v>
      </c>
    </row>
    <row r="35">
      <c r="A35" s="6" t="inlineStr">
        <is>
          <t>Total monthly FICA-adjusted effective cost</t>
        </is>
      </c>
      <c r="B35" s="14" t="n">
        <v>850226.37336</v>
      </c>
    </row>
    <row r="36">
      <c r="A36" s="6" t="inlineStr">
        <is>
          <t>Total monthly agency premium avoided</t>
        </is>
      </c>
      <c r="B36" s="14" t="n">
        <v>9058683.182639996</v>
      </c>
    </row>
    <row r="37">
      <c r="A37" s="6" t="inlineStr">
        <is>
          <t>Total monthly net hospital savings</t>
        </is>
      </c>
      <c r="B37" s="14" t="n">
        <v>8208456.809279996</v>
      </c>
    </row>
    <row r="38">
      <c r="A38" s="6" t="inlineStr">
        <is>
          <t>Term (24mo) Florence fee</t>
        </is>
      </c>
      <c r="B38" s="14" t="n">
        <v>40810865.92128</v>
      </c>
    </row>
    <row r="39">
      <c r="A39" s="6" t="inlineStr">
        <is>
          <t>Term (24mo) Hospital net savings</t>
        </is>
      </c>
      <c r="B39" s="14" t="n">
        <v>197002963.4227199</v>
      </c>
    </row>
    <row r="40">
      <c r="A40" s="6" t="inlineStr">
        <is>
          <t>Savings : Fee ratio</t>
        </is>
      </c>
      <c r="B40" s="15" t="n">
        <v>4.827218412927541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168007.8816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168007.8816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10416.4886592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2436.114283200001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12852.6029424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1071.0502452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053303</t>
        </is>
      </c>
      <c r="B2" t="inlineStr">
        <is>
          <t>RADY CHILDREN'S HOSPITAL - SAN DIEGO</t>
        </is>
      </c>
      <c r="C2" t="inlineStr">
        <is>
          <t>SAN DIEGO</t>
        </is>
      </c>
      <c r="D2" t="inlineStr">
        <is>
          <t>CA</t>
        </is>
      </c>
      <c r="E2" t="inlineStr">
        <is>
          <t>Independent / Unknown</t>
        </is>
      </c>
      <c r="F2" s="22" t="n">
        <v>1092.7</v>
      </c>
      <c r="G2" s="23" t="n">
        <v>89.74780000000001</v>
      </c>
      <c r="H2" s="23" t="n">
        <v>142.89</v>
      </c>
      <c r="I2" s="23" t="n">
        <v>53.14219999999997</v>
      </c>
      <c r="J2" s="24" t="n">
        <v>1556.1936</v>
      </c>
      <c r="K2" s="24" t="n">
        <v>778.0967999999999</v>
      </c>
      <c r="L2" s="24" t="n">
        <v>778.0967999999999</v>
      </c>
      <c r="M2" s="25" t="n">
        <v>0.5</v>
      </c>
      <c r="N2" s="24" t="n">
        <v>8290.183199999996</v>
      </c>
      <c r="O2" s="24" t="n">
        <v>7512.086399999996</v>
      </c>
      <c r="P2" s="24" t="n">
        <v>1700452.74672</v>
      </c>
      <c r="Q2" s="24" t="n">
        <v>850226.37336</v>
      </c>
      <c r="R2" s="24" t="n">
        <v>8208456.809279996</v>
      </c>
      <c r="S2" s="24" t="n">
        <v>40810865.92128</v>
      </c>
      <c r="T2" s="24" t="n">
        <v>197002963.4227199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1296.828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972.6209999999999</v>
      </c>
      <c r="D5" s="24" t="n">
        <v>1945.242</v>
      </c>
    </row>
    <row r="6">
      <c r="A6" t="inlineStr">
        <is>
          <t>50%</t>
        </is>
      </c>
      <c r="B6" s="24" t="n">
        <v>750</v>
      </c>
      <c r="C6" s="24" t="n">
        <v>778.0967999999999</v>
      </c>
      <c r="D6" s="24" t="n">
        <v>1556.1936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1296.828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1037.4624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89.74780000000001</v>
      </c>
      <c r="D4" s="23" t="n">
        <v>142.89</v>
      </c>
      <c r="E4" s="23" t="n">
        <v>53.14219999999997</v>
      </c>
      <c r="F4" s="24" t="n">
        <v>1556.1936</v>
      </c>
      <c r="G4" s="24" t="n">
        <v>778.0967999999999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053303</t>
        </is>
      </c>
      <c r="B2" t="inlineStr">
        <is>
          <t>RADY CHILDREN'S HOSPITAL - SAN DIEGO</t>
        </is>
      </c>
      <c r="C2" t="inlineStr">
        <is>
          <t>SAN DIEGO</t>
        </is>
      </c>
      <c r="D2" t="inlineStr">
        <is>
          <t>CA</t>
        </is>
      </c>
      <c r="E2" t="inlineStr">
        <is>
          <t>SAN DIEGO</t>
        </is>
      </c>
      <c r="F2" t="inlineStr">
        <is>
          <t>Childrens</t>
        </is>
      </c>
      <c r="G2" t="inlineStr">
        <is>
          <t>Voluntary non-profit - Other</t>
        </is>
      </c>
      <c r="H2" s="24" t="n">
        <v>4047</v>
      </c>
      <c r="I2" t="inlineStr"/>
      <c r="J2" t="inlineStr"/>
      <c r="K2" s="25" t="n">
        <v>0.3554</v>
      </c>
      <c r="L2" s="24" t="n">
        <v>1092.7</v>
      </c>
      <c r="M2" s="24" t="n">
        <v>89.74780000000001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RADY CHILDREN'S HOSPITAL - SAN DIEGO</t>
        </is>
      </c>
    </row>
    <row r="4">
      <c r="A4" s="6" t="inlineStr">
        <is>
          <t>Scope</t>
        </is>
      </c>
      <c r="B4" s="29" t="inlineStr">
        <is>
          <t>SAN DIEGO, CA · CCN 053303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