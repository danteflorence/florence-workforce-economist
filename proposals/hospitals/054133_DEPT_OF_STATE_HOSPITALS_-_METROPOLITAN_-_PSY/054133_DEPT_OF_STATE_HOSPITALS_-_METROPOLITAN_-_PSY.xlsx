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DEPT OF STATE HOSPITALS - METROPOLITAN - PSY</t>
        </is>
      </c>
    </row>
    <row r="2">
      <c r="A2" s="2" t="inlineStr">
        <is>
          <t>Scope: NORWALK, CA · CCN 054133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1595.5758</v>
      </c>
    </row>
    <row r="6">
      <c r="A6" s="6" t="inlineStr">
        <is>
          <t>②  Employer FICA Savings / RN/mo</t>
        </is>
      </c>
      <c r="B6" s="7" t="n">
        <v>797.7878999999999</v>
      </c>
    </row>
    <row r="7">
      <c r="A7" s="6" t="inlineStr">
        <is>
          <t>③  FICA-Adjusted Effective Cost / RN/mo</t>
        </is>
      </c>
      <c r="B7" s="7" t="n">
        <v>797.7878999999999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7138.864199999999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547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1595.5758</v>
      </c>
    </row>
    <row r="26">
      <c r="A26" s="6" t="inlineStr">
        <is>
          <t>− Employer FICA Offset</t>
        </is>
      </c>
      <c r="B26" s="12" t="n">
        <v>-797.7878999999999</v>
      </c>
    </row>
    <row r="27">
      <c r="A27" s="6">
        <f> FICA-Adjusted Effective Cost</f>
        <v/>
      </c>
      <c r="B27" s="12" t="n">
        <v>797.7878999999999</v>
      </c>
    </row>
    <row r="28">
      <c r="A28" s="6" t="inlineStr">
        <is>
          <t>+ Agency Premium Avoided</t>
        </is>
      </c>
      <c r="B28" s="12" t="n">
        <v>7936.652099999999</v>
      </c>
    </row>
    <row r="29">
      <c r="A29" s="6">
        <f> Net Monthly Savings per RN</f>
        <v/>
      </c>
      <c r="B29" s="13" t="n">
        <v>7138.864199999999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873418.1929199998</v>
      </c>
    </row>
    <row r="34">
      <c r="A34" s="6" t="inlineStr">
        <is>
          <t>Total monthly FICA offset to hospitals</t>
        </is>
      </c>
      <c r="B34" s="14" t="n">
        <v>436709.0964599999</v>
      </c>
    </row>
    <row r="35">
      <c r="A35" s="6" t="inlineStr">
        <is>
          <t>Total monthly FICA-adjusted effective cost</t>
        </is>
      </c>
      <c r="B35" s="14" t="n">
        <v>436709.0964599999</v>
      </c>
    </row>
    <row r="36">
      <c r="A36" s="6" t="inlineStr">
        <is>
          <t>Total monthly agency premium avoided</t>
        </is>
      </c>
      <c r="B36" s="14" t="n">
        <v>4344523.35954</v>
      </c>
    </row>
    <row r="37">
      <c r="A37" s="6" t="inlineStr">
        <is>
          <t>Total monthly net hospital savings</t>
        </is>
      </c>
      <c r="B37" s="14" t="n">
        <v>3907814.263079999</v>
      </c>
    </row>
    <row r="38">
      <c r="A38" s="6" t="inlineStr">
        <is>
          <t>Term (24mo) Florence fee</t>
        </is>
      </c>
      <c r="B38" s="14" t="n">
        <v>20962036.63008</v>
      </c>
    </row>
    <row r="39">
      <c r="A39" s="6" t="inlineStr">
        <is>
          <t>Term (24mo) Hospital net savings</t>
        </is>
      </c>
      <c r="B39" s="14" t="n">
        <v>93787542.31391998</v>
      </c>
    </row>
    <row r="40">
      <c r="A40" s="6" t="inlineStr">
        <is>
          <t>Savings : Fee ratio</t>
        </is>
      </c>
      <c r="B40" s="15" t="n">
        <v>4.474161741485424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172250.2548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172250.2548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10679.5157976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2497.6286946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13177.1444922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1098.09537435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054133</t>
        </is>
      </c>
      <c r="B2" t="inlineStr">
        <is>
          <t>DEPT OF STATE HOSPITALS - METROPOLITAN - PSY</t>
        </is>
      </c>
      <c r="C2" t="inlineStr">
        <is>
          <t>NORWALK</t>
        </is>
      </c>
      <c r="D2" t="inlineStr">
        <is>
          <t>CA</t>
        </is>
      </c>
      <c r="E2" t="inlineStr">
        <is>
          <t>Independent / Unknown</t>
        </is>
      </c>
      <c r="F2" s="22" t="n">
        <v>547.4</v>
      </c>
      <c r="G2" s="23" t="n">
        <v>92.01402499999999</v>
      </c>
      <c r="H2" s="23" t="n">
        <v>142.89</v>
      </c>
      <c r="I2" s="23" t="n">
        <v>50.875975</v>
      </c>
      <c r="J2" s="24" t="n">
        <v>1595.5758</v>
      </c>
      <c r="K2" s="24" t="n">
        <v>797.7878999999999</v>
      </c>
      <c r="L2" s="24" t="n">
        <v>797.7878999999999</v>
      </c>
      <c r="M2" s="25" t="n">
        <v>0.5</v>
      </c>
      <c r="N2" s="24" t="n">
        <v>7936.652099999999</v>
      </c>
      <c r="O2" s="24" t="n">
        <v>7138.864199999999</v>
      </c>
      <c r="P2" s="24" t="n">
        <v>873418.1929199998</v>
      </c>
      <c r="Q2" s="24" t="n">
        <v>436709.0964599999</v>
      </c>
      <c r="R2" s="24" t="n">
        <v>3907814.263079999</v>
      </c>
      <c r="S2" s="24" t="n">
        <v>20962036.63008</v>
      </c>
      <c r="T2" s="24" t="n">
        <v>93787542.31391998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1329.6465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997.2348749999999</v>
      </c>
      <c r="D5" s="24" t="n">
        <v>1994.46975</v>
      </c>
    </row>
    <row r="6">
      <c r="A6" t="inlineStr">
        <is>
          <t>50%</t>
        </is>
      </c>
      <c r="B6" s="24" t="n">
        <v>750</v>
      </c>
      <c r="C6" s="24" t="n">
        <v>797.7878999999999</v>
      </c>
      <c r="D6" s="24" t="n">
        <v>1595.5758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1329.6465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1063.7172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92.01402499999999</v>
      </c>
      <c r="D4" s="23" t="n">
        <v>142.89</v>
      </c>
      <c r="E4" s="23" t="n">
        <v>50.875975</v>
      </c>
      <c r="F4" s="24" t="n">
        <v>1595.5758</v>
      </c>
      <c r="G4" s="24" t="n">
        <v>797.7878999999999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054133</t>
        </is>
      </c>
      <c r="B2" t="inlineStr">
        <is>
          <t>DEPT OF STATE HOSPITALS - METROPOLITAN - PSY</t>
        </is>
      </c>
      <c r="C2" t="inlineStr">
        <is>
          <t>NORWALK</t>
        </is>
      </c>
      <c r="D2" t="inlineStr">
        <is>
          <t>CA</t>
        </is>
      </c>
      <c r="E2" t="inlineStr">
        <is>
          <t>LOS ANGELES</t>
        </is>
      </c>
      <c r="F2" t="inlineStr">
        <is>
          <t>Psychiatric</t>
        </is>
      </c>
      <c r="G2" t="inlineStr">
        <is>
          <t>Government - State</t>
        </is>
      </c>
      <c r="H2" s="24" t="n">
        <v>2027</v>
      </c>
      <c r="I2" t="inlineStr"/>
      <c r="J2" t="inlineStr"/>
      <c r="K2" t="inlineStr"/>
      <c r="L2" s="24" t="n">
        <v>547.4</v>
      </c>
      <c r="M2" s="24" t="n">
        <v>92.01402499999999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DEPT OF STATE HOSPITALS - METROPOLITAN - PSY</t>
        </is>
      </c>
    </row>
    <row r="4">
      <c r="A4" s="6" t="inlineStr">
        <is>
          <t>Scope</t>
        </is>
      </c>
      <c r="B4" s="29" t="inlineStr">
        <is>
          <t>NORWALK, CA · CCN 054133</t>
        </is>
      </c>
    </row>
    <row r="5">
      <c r="A5" s="6" t="inlineStr">
        <is>
          <t>Generated at</t>
        </is>
      </c>
      <c r="B5" s="29" t="inlineStr">
        <is>
          <t>2026-05-28T11:09:45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2026-05-28T18:09:45Z</dcterms:created>
  <dcterms:modified xsi:type="dcterms:W3CDTF">2026-05-28T18:09:45Z</dcterms:modified>
</cp:coreProperties>
</file>