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SUTTER MEDICAL CENTER, SACRAMENTO</t>
        </is>
      </c>
    </row>
    <row r="2">
      <c r="A2" s="2" t="inlineStr">
        <is>
          <t>Scope: SACRAMENTO, CA · CCN 050108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1753.1046</v>
      </c>
    </row>
    <row r="6">
      <c r="A6" s="6" t="inlineStr">
        <is>
          <t>②  Employer FICA Savings / RN/mo</t>
        </is>
      </c>
      <c r="B6" s="7" t="n">
        <v>876.5522999999999</v>
      </c>
    </row>
    <row r="7">
      <c r="A7" s="6" t="inlineStr">
        <is>
          <t>③  FICA-Adjusted Effective Cost / RN/mo</t>
        </is>
      </c>
      <c r="B7" s="7" t="n">
        <v>876.5522999999999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6190.415399999998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901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1753.1046</v>
      </c>
    </row>
    <row r="26">
      <c r="A26" s="6" t="inlineStr">
        <is>
          <t>− Employer FICA Offset</t>
        </is>
      </c>
      <c r="B26" s="12" t="n">
        <v>-876.5522999999999</v>
      </c>
    </row>
    <row r="27">
      <c r="A27" s="6">
        <f> FICA-Adjusted Effective Cost</f>
        <v/>
      </c>
      <c r="B27" s="12" t="n">
        <v>876.5522999999999</v>
      </c>
    </row>
    <row r="28">
      <c r="A28" s="6" t="inlineStr">
        <is>
          <t>+ Agency Premium Avoided</t>
        </is>
      </c>
      <c r="B28" s="12" t="n">
        <v>7066.967699999997</v>
      </c>
    </row>
    <row r="29">
      <c r="A29" s="6">
        <f> Net Monthly Savings per RN</f>
        <v/>
      </c>
      <c r="B29" s="13" t="n">
        <v>6190.415399999998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1579371.93414</v>
      </c>
    </row>
    <row r="34">
      <c r="A34" s="6" t="inlineStr">
        <is>
          <t>Total monthly FICA offset to hospitals</t>
        </is>
      </c>
      <c r="B34" s="14" t="n">
        <v>789685.9670699999</v>
      </c>
    </row>
    <row r="35">
      <c r="A35" s="6" t="inlineStr">
        <is>
          <t>Total monthly FICA-adjusted effective cost</t>
        </is>
      </c>
      <c r="B35" s="14" t="n">
        <v>789685.9670699999</v>
      </c>
    </row>
    <row r="36">
      <c r="A36" s="6" t="inlineStr">
        <is>
          <t>Total monthly agency premium avoided</t>
        </is>
      </c>
      <c r="B36" s="14" t="n">
        <v>6366631.200929997</v>
      </c>
    </row>
    <row r="37">
      <c r="A37" s="6" t="inlineStr">
        <is>
          <t>Total monthly net hospital savings</t>
        </is>
      </c>
      <c r="B37" s="14" t="n">
        <v>5576945.233859998</v>
      </c>
    </row>
    <row r="38">
      <c r="A38" s="6" t="inlineStr">
        <is>
          <t>Term (24mo) Florence fee</t>
        </is>
      </c>
      <c r="B38" s="14" t="n">
        <v>37904926.41936</v>
      </c>
    </row>
    <row r="39">
      <c r="A39" s="6" t="inlineStr">
        <is>
          <t>Term (24mo) Hospital net savings</t>
        </is>
      </c>
      <c r="B39" s="14" t="n">
        <v>133846685.6126399</v>
      </c>
    </row>
    <row r="40">
      <c r="A40" s="6" t="inlineStr">
        <is>
          <t>Savings : Fee ratio</t>
        </is>
      </c>
      <c r="B40" s="15" t="n">
        <v>3.531115827315722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182686.4676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182686.4676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11326.5609912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2648.9537802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13975.5147714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1164.62623095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050108</t>
        </is>
      </c>
      <c r="B2" t="inlineStr">
        <is>
          <t>SUTTER MEDICAL CENTER, SACRAMENTO</t>
        </is>
      </c>
      <c r="C2" t="inlineStr">
        <is>
          <t>SACRAMENTO</t>
        </is>
      </c>
      <c r="D2" t="inlineStr">
        <is>
          <t>CA</t>
        </is>
      </c>
      <c r="E2" t="inlineStr">
        <is>
          <t>Sutter Health</t>
        </is>
      </c>
      <c r="F2" s="22" t="n">
        <v>900.9</v>
      </c>
      <c r="G2" s="23" t="n">
        <v>97.588925</v>
      </c>
      <c r="H2" s="23" t="n">
        <v>142.89</v>
      </c>
      <c r="I2" s="23" t="n">
        <v>45.30107499999998</v>
      </c>
      <c r="J2" s="24" t="n">
        <v>1753.1046</v>
      </c>
      <c r="K2" s="24" t="n">
        <v>876.5522999999999</v>
      </c>
      <c r="L2" s="24" t="n">
        <v>876.5522999999999</v>
      </c>
      <c r="M2" s="25" t="n">
        <v>0.5</v>
      </c>
      <c r="N2" s="24" t="n">
        <v>7066.967699999997</v>
      </c>
      <c r="O2" s="24" t="n">
        <v>6190.415399999998</v>
      </c>
      <c r="P2" s="24" t="n">
        <v>1579371.93414</v>
      </c>
      <c r="Q2" s="24" t="n">
        <v>789685.9670699999</v>
      </c>
      <c r="R2" s="24" t="n">
        <v>5576945.233859998</v>
      </c>
      <c r="S2" s="24" t="n">
        <v>37904926.41936</v>
      </c>
      <c r="T2" s="24" t="n">
        <v>133846685.6126399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1460.9205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1095.690375</v>
      </c>
      <c r="D5" s="24" t="n">
        <v>2000</v>
      </c>
    </row>
    <row r="6">
      <c r="A6" t="inlineStr">
        <is>
          <t>50%</t>
        </is>
      </c>
      <c r="B6" s="24" t="n">
        <v>750</v>
      </c>
      <c r="C6" s="24" t="n">
        <v>876.5522999999999</v>
      </c>
      <c r="D6" s="24" t="n">
        <v>1753.1046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1460.9205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1168.7364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97.588925</v>
      </c>
      <c r="D4" s="23" t="n">
        <v>142.89</v>
      </c>
      <c r="E4" s="23" t="n">
        <v>45.30107499999998</v>
      </c>
      <c r="F4" s="24" t="n">
        <v>1753.1046</v>
      </c>
      <c r="G4" s="24" t="n">
        <v>876.5522999999999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050108</t>
        </is>
      </c>
      <c r="B2" t="inlineStr">
        <is>
          <t>SUTTER MEDICAL CENTER, SACRAMENTO</t>
        </is>
      </c>
      <c r="C2" t="inlineStr">
        <is>
          <t>SACRAMENTO</t>
        </is>
      </c>
      <c r="D2" t="inlineStr">
        <is>
          <t>CA</t>
        </is>
      </c>
      <c r="E2" t="inlineStr">
        <is>
          <t>SACRAMENTO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3337</v>
      </c>
      <c r="I2" t="inlineStr"/>
      <c r="J2" t="inlineStr"/>
      <c r="K2" s="25" t="n">
        <v>0.1806</v>
      </c>
      <c r="L2" s="24" t="n">
        <v>900.9</v>
      </c>
      <c r="M2" s="24" t="n">
        <v>97.588925</v>
      </c>
      <c r="N2" s="24" t="n">
        <v>142.89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SUTTER MEDICAL CENTER, SACRAMENTO</t>
        </is>
      </c>
    </row>
    <row r="4">
      <c r="A4" s="6" t="inlineStr">
        <is>
          <t>Scope</t>
        </is>
      </c>
      <c r="B4" s="29" t="inlineStr">
        <is>
          <t>SACRAMENTO, CA · CCN 050108</t>
        </is>
      </c>
    </row>
    <row r="5">
      <c r="A5" s="6" t="inlineStr">
        <is>
          <t>Generated at</t>
        </is>
      </c>
      <c r="B5" s="29" t="inlineStr">
        <is>
          <t>2026-05-28T11:09:43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2026-05-28T18:09:43Z</dcterms:created>
  <dcterms:modified xsi:type="dcterms:W3CDTF">2026-05-28T18:09:43Z</dcterms:modified>
</cp:coreProperties>
</file>