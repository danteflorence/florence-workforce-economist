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Executive_Summary" sheetId="1" state="visible" r:id="rId1"/>
    <sheet name="2_Inputs" sheetId="2" state="visible" r:id="rId2"/>
    <sheet name="3_Pricing_Mode" sheetId="3" state="visible" r:id="rId3"/>
    <sheet name="4_FICA_Offset_Model" sheetId="4" state="visible" r:id="rId4"/>
    <sheet name="5_Hospital_Detail" sheetId="5" state="visible" r:id="rId5"/>
    <sheet name="6_Sensitivity" sheetId="6" state="visible" r:id="rId6"/>
    <sheet name="7_Market_Benchmarks" sheetId="7" state="visible" r:id="rId7"/>
    <sheet name="8_Facility_Source_Data" sheetId="8" state="visible" r:id="rId8"/>
    <sheet name="9_Sources_Caveats" sheetId="9" state="visible" r:id="rId9"/>
    <sheet name="10_Run_Lo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"/>
    <numFmt numFmtId="165" formatCode="0.0%"/>
    <numFmt numFmtId="166" formatCode="&quot;$&quot;#,##0.00"/>
    <numFmt numFmtId="167" formatCode="0.0&quot;x&quot;"/>
    <numFmt numFmtId="168" formatCode="#,##0.0"/>
  </numFmts>
  <fonts count="13">
    <font>
      <name val="Calibri"/>
      <family val="2"/>
      <color theme="1"/>
      <sz val="11"/>
      <scheme val="minor"/>
    </font>
    <font>
      <name val="Calibri"/>
      <b val="1"/>
      <color rgb="000B2545"/>
      <sz val="18"/>
    </font>
    <font>
      <color rgb="006B7280"/>
      <sz val="10"/>
    </font>
    <font>
      <name val="Calibri"/>
      <b val="1"/>
      <color rgb="00FFFFFF"/>
      <sz val="12"/>
    </font>
    <font>
      <name val="Calibri"/>
      <color rgb="006B7280"/>
      <sz val="11"/>
    </font>
    <font>
      <name val="Calibri"/>
      <b val="1"/>
      <color rgb="001A2230"/>
      <sz val="11"/>
    </font>
    <font>
      <b val="1"/>
      <color rgb="000B2545"/>
      <sz val="14"/>
    </font>
    <font>
      <i val="1"/>
      <color rgb="000B2545"/>
      <sz val="11"/>
    </font>
    <font>
      <name val="Calibri"/>
      <color rgb="001A2230"/>
      <sz val="11"/>
    </font>
    <font>
      <i val="1"/>
      <color rgb="006B5824"/>
      <sz val="10"/>
    </font>
    <font>
      <i val="1"/>
      <color rgb="006B7280"/>
      <sz val="10"/>
    </font>
    <font>
      <sz val="11"/>
    </font>
    <font>
      <b val="1"/>
      <color rgb="000B2545"/>
    </font>
  </fonts>
  <fills count="6">
    <fill>
      <patternFill/>
    </fill>
    <fill>
      <patternFill patternType="gray125"/>
    </fill>
    <fill>
      <patternFill patternType="solid">
        <fgColor rgb="000B2545"/>
      </patternFill>
    </fill>
    <fill>
      <patternFill patternType="solid">
        <fgColor rgb="001E6091"/>
      </patternFill>
    </fill>
    <fill>
      <patternFill patternType="solid">
        <fgColor rgb="00C97A3B"/>
      </patternFill>
    </fill>
    <fill>
      <patternFill patternType="solid">
        <fgColor rgb="00FFF8E6"/>
      </patternFill>
    </fill>
  </fills>
  <borders count="6">
    <border>
      <left/>
      <right/>
      <top/>
      <bottom/>
      <diagonal/>
    </border>
    <border>
      <left style="thin">
        <color rgb="00E2E6EE"/>
      </left>
      <right style="thin">
        <color rgb="00E2E6EE"/>
      </right>
      <top style="thin">
        <color rgb="00E2E6EE"/>
      </top>
      <bottom style="thin">
        <color rgb="00E2E6EE"/>
      </bottom>
    </border>
    <border>
      <left/>
      <right/>
      <top style="thin">
        <color rgb="00E2E6EE"/>
      </top>
      <bottom/>
      <diagonal/>
    </border>
    <border>
      <left/>
      <right style="thin">
        <color rgb="00E2E6EE"/>
      </right>
      <top style="thin">
        <color rgb="00E2E6EE"/>
      </top>
      <bottom/>
      <diagonal/>
    </border>
    <border>
      <left/>
      <right/>
      <top style="thin">
        <color rgb="00E2E6EE"/>
      </top>
      <bottom style="thin">
        <color rgb="00E2E6EE"/>
      </bottom>
      <diagonal/>
    </border>
    <border>
      <left/>
      <right style="thin">
        <color rgb="00E2E6EE"/>
      </right>
      <top style="thin">
        <color rgb="00E2E6EE"/>
      </top>
      <bottom style="thin">
        <color rgb="00E2E6EE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0" fontId="7" fillId="0" borderId="0" pivotButton="0" quotePrefix="0" xfId="0"/>
    <xf numFmtId="0" fontId="3" fillId="3" borderId="1" applyAlignment="1" pivotButton="0" quotePrefix="0" xfId="0">
      <alignment horizontal="left" vertical="center"/>
    </xf>
    <xf numFmtId="3" fontId="8" fillId="0" borderId="0" applyAlignment="1" pivotButton="0" quotePrefix="0" xfId="0">
      <alignment horizontal="right" vertical="center"/>
    </xf>
    <xf numFmtId="166" fontId="8" fillId="0" borderId="0" applyAlignment="1" pivotButton="0" quotePrefix="0" xfId="0">
      <alignment horizontal="right" vertical="center"/>
    </xf>
    <xf numFmtId="166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167" fontId="5" fillId="0" borderId="0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0" fontId="9" fillId="5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right" vertical="center"/>
    </xf>
    <xf numFmtId="0" fontId="10" fillId="0" borderId="0" pivotButton="0" quotePrefix="0" xfId="0"/>
    <xf numFmtId="0" fontId="11" fillId="0" borderId="0" applyAlignment="1" pivotButton="0" quotePrefix="0" xfId="0">
      <alignment horizontal="left" vertical="top" wrapText="1"/>
    </xf>
    <xf numFmtId="10" fontId="8" fillId="0" borderId="0" applyAlignment="1" pivotButton="0" quotePrefix="0" xfId="0">
      <alignment horizontal="right" vertical="center"/>
    </xf>
    <xf numFmtId="168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0" fontId="1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top" wrapText="1"/>
    </xf>
    <xf numFmtId="0" fontId="8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2" customHeight="1">
      <c r="A1" s="1" t="inlineStr">
        <is>
          <t>Florence Workforce Restoration — Health System: Stanford Health</t>
        </is>
      </c>
    </row>
    <row r="2">
      <c r="A2" s="2" t="inlineStr">
        <is>
          <t>Scope: 3 hospitals in 1 states (CA)  ·  Pricing mode: fica_offset_target  ·  Term: 24 months  ·  Report date: 2026-05-28  ·  Calibration: v0.5-methodology-v2-2026-05</t>
        </is>
      </c>
    </row>
    <row r="4">
      <c r="A4" s="3" t="inlineStr">
        <is>
          <t>PRIMARY BUYER-FACING NUMBERS</t>
        </is>
      </c>
      <c r="B4" s="4" t="n"/>
      <c r="C4" s="4" t="n"/>
      <c r="D4" s="4" t="n"/>
      <c r="E4" s="4" t="n"/>
      <c r="F4" s="5" t="n"/>
    </row>
    <row r="5">
      <c r="A5" s="6" t="inlineStr">
        <is>
          <t>①  Florence Monthly Fee / RN</t>
        </is>
      </c>
      <c r="B5" s="7" t="n">
        <v>1914.33294</v>
      </c>
    </row>
    <row r="6">
      <c r="A6" s="6" t="inlineStr">
        <is>
          <t>②  Employer FICA Savings / RN/mo</t>
        </is>
      </c>
      <c r="B6" s="7" t="n">
        <v>957.1664699999999</v>
      </c>
    </row>
    <row r="7">
      <c r="A7" s="6" t="inlineStr">
        <is>
          <t>③  FICA-Adjusted Effective Cost / RN/mo</t>
        </is>
      </c>
      <c r="B7" s="7" t="n">
        <v>957.1664699999999</v>
      </c>
    </row>
    <row r="8">
      <c r="A8" s="6" t="inlineStr">
        <is>
          <t>④  Actual FICA Offset %</t>
        </is>
      </c>
      <c r="B8" s="8" t="n">
        <v>0.5</v>
      </c>
    </row>
    <row r="9">
      <c r="A9" s="6" t="inlineStr">
        <is>
          <t>⑤  Net Monthly Savings / RN</t>
        </is>
      </c>
      <c r="B9" s="7" t="n">
        <v>2848.347059999999</v>
      </c>
    </row>
    <row r="11">
      <c r="A11" s="6" t="inlineStr">
        <is>
          <t>Target offset achievement</t>
        </is>
      </c>
      <c r="B11" s="9" t="inlineStr">
        <is>
          <t>Target 50%  |  Actual median 50.0%  |  Exact target</t>
        </is>
      </c>
    </row>
    <row r="13">
      <c r="A13" s="10" t="inlineStr">
        <is>
          <t>RN NEED &amp; TERM</t>
        </is>
      </c>
      <c r="B13" s="4" t="n"/>
      <c r="C13" s="4" t="n"/>
      <c r="D13" s="4" t="n"/>
      <c r="E13" s="4" t="n"/>
      <c r="F13" s="5" t="n"/>
    </row>
    <row r="14">
      <c r="A14" s="6" t="inlineStr">
        <is>
          <t>Hospitals in scope</t>
        </is>
      </c>
      <c r="B14" s="11" t="n">
        <v>3</v>
      </c>
    </row>
    <row r="15">
      <c r="A15" s="6" t="inlineStr">
        <is>
          <t>Hospitals quotable</t>
        </is>
      </c>
      <c r="B15" s="11" t="n">
        <v>2</v>
      </c>
    </row>
    <row r="16">
      <c r="A16" s="6" t="inlineStr">
        <is>
          <t>Hospitals flagged for manual review</t>
        </is>
      </c>
      <c r="B16" s="11" t="n">
        <v>1</v>
      </c>
    </row>
    <row r="17">
      <c r="A17" s="6" t="inlineStr">
        <is>
          <t>Total Covered RN Need (FTE)</t>
        </is>
      </c>
      <c r="B17" s="11" t="n">
        <v>1497</v>
      </c>
    </row>
    <row r="18">
      <c r="A18" s="6" t="inlineStr">
        <is>
          <t>Monthly hours per covered RN</t>
        </is>
      </c>
      <c r="B18" s="11" t="n">
        <v>156</v>
      </c>
    </row>
    <row r="19">
      <c r="A19" s="6" t="inlineStr">
        <is>
          <t>Annual hours per covered RN</t>
        </is>
      </c>
      <c r="B19" s="11" t="n">
        <v>1872</v>
      </c>
    </row>
    <row r="20">
      <c r="A20" s="6" t="inlineStr">
        <is>
          <t>Contract term (months)</t>
        </is>
      </c>
      <c r="B20" s="11" t="n">
        <v>24</v>
      </c>
    </row>
    <row r="21">
      <c r="A21" s="6" t="inlineStr">
        <is>
          <t>Cohort visa-exempt share (η)</t>
        </is>
      </c>
      <c r="B21" s="11" t="n">
        <v>1</v>
      </c>
    </row>
    <row r="22">
      <c r="A22" s="6" t="inlineStr">
        <is>
          <t>FICA-eligible months per nurse</t>
        </is>
      </c>
      <c r="B22" s="11" t="n">
        <v>24</v>
      </c>
    </row>
    <row r="24">
      <c r="A24" s="3" t="inlineStr">
        <is>
          <t>MONTHLY BRIDGE (per RN)</t>
        </is>
      </c>
      <c r="B24" s="4" t="n"/>
      <c r="C24" s="4" t="n"/>
      <c r="D24" s="4" t="n"/>
      <c r="E24" s="4" t="n"/>
      <c r="F24" s="5" t="n"/>
    </row>
    <row r="25">
      <c r="A25" s="6" t="inlineStr">
        <is>
          <t>Florence Monthly Fee (gross)</t>
        </is>
      </c>
      <c r="B25" s="12" t="n">
        <v>1914.33294</v>
      </c>
    </row>
    <row r="26">
      <c r="A26" s="6" t="inlineStr">
        <is>
          <t>− Employer FICA Offset</t>
        </is>
      </c>
      <c r="B26" s="12" t="n">
        <v>-957.1664699999999</v>
      </c>
    </row>
    <row r="27">
      <c r="A27" s="6">
        <f> FICA-Adjusted Effective Cost</f>
        <v/>
      </c>
      <c r="B27" s="12" t="n">
        <v>957.1664699999999</v>
      </c>
    </row>
    <row r="28">
      <c r="A28" s="6" t="inlineStr">
        <is>
          <t>+ Agency Premium Avoided</t>
        </is>
      </c>
      <c r="B28" s="12" t="n">
        <v>4755.392076815589</v>
      </c>
    </row>
    <row r="29">
      <c r="A29" s="6">
        <f> Net Monthly Savings per RN</f>
        <v/>
      </c>
      <c r="B29" s="13" t="n">
        <v>2848.347059999999</v>
      </c>
    </row>
    <row r="32">
      <c r="A32" s="3" t="inlineStr">
        <is>
          <t>PORTFOLIO TOTALS (2 quotable hospitals)</t>
        </is>
      </c>
      <c r="B32" s="4" t="n"/>
      <c r="C32" s="4" t="n"/>
      <c r="D32" s="4" t="n"/>
      <c r="E32" s="4" t="n"/>
      <c r="F32" s="5" t="n"/>
    </row>
    <row r="33">
      <c r="A33" s="6" t="inlineStr">
        <is>
          <t>Total monthly Florence billings</t>
        </is>
      </c>
      <c r="B33" s="14" t="n">
        <v>2909110.212411691</v>
      </c>
    </row>
    <row r="34">
      <c r="A34" s="6" t="inlineStr">
        <is>
          <t>Total monthly FICA offset to hospitals</t>
        </is>
      </c>
      <c r="B34" s="14" t="n">
        <v>1454555.106205846</v>
      </c>
    </row>
    <row r="35">
      <c r="A35" s="6" t="inlineStr">
        <is>
          <t>Total monthly FICA-adjusted effective cost</t>
        </is>
      </c>
      <c r="B35" s="14" t="n">
        <v>1454555.106205846</v>
      </c>
    </row>
    <row r="36">
      <c r="A36" s="6" t="inlineStr">
        <is>
          <t>Total monthly agency premium avoided</t>
        </is>
      </c>
      <c r="B36" s="14" t="n">
        <v>7119773.017408299</v>
      </c>
    </row>
    <row r="37">
      <c r="A37" s="6" t="inlineStr">
        <is>
          <t>Total monthly net hospital savings</t>
        </is>
      </c>
      <c r="B37" s="14" t="n">
        <v>5665217.911202455</v>
      </c>
    </row>
    <row r="38">
      <c r="A38" s="6" t="inlineStr">
        <is>
          <t>Term (24mo) Florence fee</t>
        </is>
      </c>
      <c r="B38" s="14" t="n">
        <v>69818645.0978806</v>
      </c>
    </row>
    <row r="39">
      <c r="A39" s="6" t="inlineStr">
        <is>
          <t>Term (24mo) Hospital net savings</t>
        </is>
      </c>
      <c r="B39" s="14" t="n">
        <v>135965229.8688589</v>
      </c>
    </row>
    <row r="40">
      <c r="A40" s="6" t="inlineStr">
        <is>
          <t>Savings : Fee ratio</t>
        </is>
      </c>
      <c r="B40" s="15" t="n">
        <v>1.947405734932921</v>
      </c>
    </row>
    <row r="43">
      <c r="A43" s="16" t="inlineStr">
        <is>
          <t>REQUIRED COMPLIANCE STATEMENT</t>
        </is>
      </c>
      <c r="B43" s="4" t="n"/>
      <c r="C43" s="4" t="n"/>
      <c r="D43" s="4" t="n"/>
      <c r="E43" s="4" t="n"/>
      <c r="F43" s="5" t="n"/>
    </row>
    <row r="44" ht="70" customHeight="1">
      <c r="A44" s="17" t="inlineStr">
        <is>
          <t>Estimated employer-side FICA offset shown for eligible nurse cohorts only. Eligibility must be validated by payroll, tax counsel, and immigration counsel. Employee-side FICA benefit is shown separately as a nurse take-home benefit and is not included in employer ROI unless presented as combined economic value.</t>
        </is>
      </c>
    </row>
    <row r="45"/>
    <row r="46"/>
    <row r="47"/>
  </sheetData>
  <mergeCells count="22">
    <mergeCell ref="B7:C7"/>
    <mergeCell ref="A44:F47"/>
    <mergeCell ref="B39:C39"/>
    <mergeCell ref="A2:F2"/>
    <mergeCell ref="B11:F11"/>
    <mergeCell ref="A32:F32"/>
    <mergeCell ref="A4:F4"/>
    <mergeCell ref="B8:C8"/>
    <mergeCell ref="A43:F43"/>
    <mergeCell ref="B38:C38"/>
    <mergeCell ref="A13:F13"/>
    <mergeCell ref="B34:C34"/>
    <mergeCell ref="B37:C37"/>
    <mergeCell ref="B40:C40"/>
    <mergeCell ref="B9:C9"/>
    <mergeCell ref="A24:F24"/>
    <mergeCell ref="B6:C6"/>
    <mergeCell ref="B33:C33"/>
    <mergeCell ref="B5:C5"/>
    <mergeCell ref="A1:F1"/>
    <mergeCell ref="B36:C36"/>
    <mergeCell ref="B35:C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50" customWidth="1" min="3" max="3"/>
  </cols>
  <sheetData>
    <row r="1">
      <c r="A1" s="1" t="inlineStr">
        <is>
          <t>Pricing inputs &amp; assumptions (editable copy of run-time calibration)</t>
        </is>
      </c>
    </row>
    <row r="3">
      <c r="A3" s="3" t="inlineStr">
        <is>
          <t>Parameter</t>
        </is>
      </c>
      <c r="B3" s="3" t="inlineStr">
        <is>
          <t>Value</t>
        </is>
      </c>
      <c r="C3" s="3" t="inlineStr">
        <is>
          <t>Reference</t>
        </is>
      </c>
    </row>
    <row r="4">
      <c r="A4" s="6" t="inlineStr">
        <is>
          <t>Pricing mode</t>
        </is>
      </c>
      <c r="B4" s="18" t="inlineStr">
        <is>
          <t>fica_offset_target</t>
        </is>
      </c>
      <c r="C4" s="19" t="inlineStr">
        <is>
          <t>v2 §6</t>
        </is>
      </c>
    </row>
    <row r="5">
      <c r="A5" s="6" t="inlineStr">
        <is>
          <t>Target FICA offset %</t>
        </is>
      </c>
      <c r="B5" s="18" t="n">
        <v>0.5</v>
      </c>
      <c r="C5" s="19" t="inlineStr">
        <is>
          <t>v2 §6.2 (default 50%)</t>
        </is>
      </c>
    </row>
    <row r="6">
      <c r="A6" s="6" t="inlineStr">
        <is>
          <t>Price floor ($/RN/month)</t>
        </is>
      </c>
      <c r="B6" s="18" t="n">
        <v>750</v>
      </c>
      <c r="C6" s="19" t="inlineStr">
        <is>
          <t>v2 §6.3 — lowered to $750 covers 99% of US</t>
        </is>
      </c>
    </row>
    <row r="7">
      <c r="A7" s="6" t="inlineStr">
        <is>
          <t>Price ceiling ($/RN/month)</t>
        </is>
      </c>
      <c r="B7" s="18" t="n">
        <v>2000</v>
      </c>
      <c r="C7" s="19" t="inlineStr">
        <is>
          <t>v2 §6.3 (default $2,000)</t>
        </is>
      </c>
    </row>
    <row r="8">
      <c r="A8" s="6" t="inlineStr">
        <is>
          <t>Standard fee ($/RN/month)</t>
        </is>
      </c>
      <c r="B8" s="18" t="n">
        <v>1750</v>
      </c>
      <c r="C8" s="19" t="inlineStr">
        <is>
          <t>v2 §6.1 (default $1,750)</t>
        </is>
      </c>
    </row>
    <row r="9">
      <c r="A9" s="6" t="inlineStr">
        <is>
          <t>Term (months)</t>
        </is>
      </c>
      <c r="B9" s="18" t="n">
        <v>24</v>
      </c>
      <c r="C9" s="19" t="inlineStr">
        <is>
          <t>v2 §4 (default 24)</t>
        </is>
      </c>
    </row>
    <row r="10">
      <c r="A10" s="6" t="inlineStr">
        <is>
          <t>Annual hours per covered RN</t>
        </is>
      </c>
      <c r="B10" s="18" t="n">
        <v>1872</v>
      </c>
      <c r="C10" s="19" t="inlineStr">
        <is>
          <t>v2 §4 (1,872)</t>
        </is>
      </c>
    </row>
    <row r="11">
      <c r="A11" s="6" t="inlineStr">
        <is>
          <t>Monthly hours per covered RN</t>
        </is>
      </c>
      <c r="B11" s="18" t="n">
        <v>156</v>
      </c>
      <c r="C11" s="19" t="inlineStr">
        <is>
          <t>v2 §4 (156)</t>
        </is>
      </c>
    </row>
    <row r="12">
      <c r="A12" s="6" t="inlineStr">
        <is>
          <t>RN share of contracted labor</t>
        </is>
      </c>
      <c r="B12" s="18" t="n">
        <v>0.8</v>
      </c>
      <c r="C12" s="19" t="inlineStr">
        <is>
          <t>v2 §5.3 (default 80%)</t>
        </is>
      </c>
    </row>
    <row r="13">
      <c r="A13" s="6" t="inlineStr">
        <is>
          <t>Coverage / Displacement target</t>
        </is>
      </c>
      <c r="B13" s="18" t="n">
        <v>0.9</v>
      </c>
      <c r="C13" s="19" t="inlineStr">
        <is>
          <t>v2 §5.3 (default 90%)</t>
        </is>
      </c>
    </row>
    <row r="14">
      <c r="A14" s="6" t="inlineStr">
        <is>
          <t>Agency displacement factor</t>
        </is>
      </c>
      <c r="B14" s="18" t="n">
        <v>1</v>
      </c>
      <c r="C14" s="19" t="inlineStr">
        <is>
          <t>v2 §5.4 (default 100%)</t>
        </is>
      </c>
    </row>
    <row r="15">
      <c r="A15" s="6" t="inlineStr">
        <is>
          <t>Cohort visa-exempt share η</t>
        </is>
      </c>
      <c r="B15" s="18" t="n">
        <v>1</v>
      </c>
      <c r="C15" s="19" t="inlineStr">
        <is>
          <t>F-1 default: 1.0 per IRC §3121(b)(19)</t>
        </is>
      </c>
    </row>
    <row r="16">
      <c r="A16" s="6" t="inlineStr">
        <is>
          <t>FICA-eligible months (per nurse)</t>
        </is>
      </c>
      <c r="B16" s="18" t="n">
        <v>24</v>
      </c>
      <c r="C16" s="19" t="inlineStr">
        <is>
          <t>F-1 NRA period (up to ~5 calendar years)</t>
        </is>
      </c>
    </row>
    <row r="17">
      <c r="A17" s="6" t="inlineStr">
        <is>
          <t>Immigration add-on enabled</t>
        </is>
      </c>
      <c r="B17" s="18" t="b">
        <v>0</v>
      </c>
      <c r="C17" s="19" t="inlineStr">
        <is>
          <t>v2 §6.5 ($5K / 24 mo)</t>
        </is>
      </c>
    </row>
    <row r="18">
      <c r="A18" s="6" t="inlineStr">
        <is>
          <t>Immigration add-on monthly</t>
        </is>
      </c>
      <c r="B18" s="18" t="n">
        <v>0</v>
      </c>
      <c r="C18" s="19" t="inlineStr">
        <is>
          <t>$208.33/RN/mo when enabled</t>
        </is>
      </c>
    </row>
    <row r="19">
      <c r="A19" s="6" t="inlineStr">
        <is>
          <t>Direct partner share</t>
        </is>
      </c>
      <c r="B19" s="18" t="n">
        <v>0</v>
      </c>
      <c r="C19" s="19" t="inlineStr">
        <is>
          <t>v2 — 0% direct enterprise</t>
        </is>
      </c>
    </row>
    <row r="20">
      <c r="A20" s="6" t="inlineStr">
        <is>
          <t>AMN partner share</t>
        </is>
      </c>
      <c r="B20" s="18" t="n">
        <v>0.2</v>
      </c>
      <c r="C20" s="19" t="inlineStr">
        <is>
          <t>v2 — 20% via AMN wholesale</t>
        </is>
      </c>
    </row>
    <row r="21">
      <c r="A21" s="6" t="inlineStr">
        <is>
          <t>SS wage base</t>
        </is>
      </c>
      <c r="B21" s="18" t="n">
        <v>184500</v>
      </c>
      <c r="C21" s="19" t="inlineStr">
        <is>
          <t>IRS Rev. Proc. annual</t>
        </is>
      </c>
    </row>
    <row r="22">
      <c r="A22" s="6" t="inlineStr">
        <is>
          <t>Calibration version</t>
        </is>
      </c>
      <c r="B22" s="18" t="inlineStr">
        <is>
          <t>v0.5-methodology-v2-2026-05</t>
        </is>
      </c>
      <c r="C22" s="19" t="inlineStr">
        <is>
          <t>Engine semantic version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Pricing mode in effect: fica_offset_target</t>
        </is>
      </c>
    </row>
    <row r="3">
      <c r="A3" s="10" t="inlineStr">
        <is>
          <t>Explanation</t>
        </is>
      </c>
      <c r="B3" s="5" t="n"/>
    </row>
    <row r="4" ht="80" customHeight="1">
      <c r="A4" s="20" t="inlineStr">
        <is>
          <t>Suggested fee per RN per month = Employer FICA Savings ÷ target_offset_pct. With target = 50%, the suggested fee equals 2.0× the employer FICA savings. Final fee clamped to $750 ≤ fee ≤ $2,000. When the cohort is FICA-eligible (F-1 default), this anchors Florence's price to a verifiable payroll-tax saving on the customer's books.</t>
        </is>
      </c>
    </row>
    <row r="5"/>
    <row r="6"/>
    <row r="7"/>
  </sheetData>
  <mergeCells count="3">
    <mergeCell ref="A4:B7"/>
    <mergeCell ref="A3:B3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50" customWidth="1" min="3" max="3"/>
  </cols>
  <sheetData>
    <row r="1">
      <c r="A1" s="1" t="inlineStr">
        <is>
          <t>Employer FICA Offset Model (per RN)</t>
        </is>
      </c>
    </row>
    <row r="3">
      <c r="A3" s="3" t="inlineStr">
        <is>
          <t>Parameter</t>
        </is>
      </c>
      <c r="B3" s="3" t="inlineStr">
        <is>
          <t>Value</t>
        </is>
      </c>
      <c r="C3" s="3" t="inlineStr">
        <is>
          <t>Source / Note</t>
        </is>
      </c>
    </row>
    <row r="4">
      <c r="A4" s="6" t="inlineStr">
        <is>
          <t>Eligible annual wages (median)</t>
        </is>
      </c>
      <c r="B4" s="12" t="n">
        <v>199762.39764</v>
      </c>
      <c r="C4" s="19" t="inlineStr">
        <is>
          <t>Hourly wage × 1,872 (v2 §5.6 hourly basis)</t>
        </is>
      </c>
    </row>
    <row r="5">
      <c r="A5" s="6" t="inlineStr">
        <is>
          <t>Social Security wage base</t>
        </is>
      </c>
      <c r="B5" s="18" t="n">
        <v>184500</v>
      </c>
      <c r="C5" s="19" t="inlineStr">
        <is>
          <t>IRS 2026 Rev. Proc.</t>
        </is>
      </c>
    </row>
    <row r="6">
      <c r="A6" s="6" t="inlineStr">
        <is>
          <t>Taxable SS wages (cap-applied)</t>
        </is>
      </c>
      <c r="B6" s="18" t="n">
        <v>184500</v>
      </c>
      <c r="C6" s="19">
        <f> MIN(wages, SS base)</f>
        <v/>
      </c>
    </row>
    <row r="7">
      <c r="A7" s="6" t="inlineStr">
        <is>
          <t>Employer SS tax rate</t>
        </is>
      </c>
      <c r="B7" s="21" t="n">
        <v>0.062</v>
      </c>
      <c r="C7" s="19" t="inlineStr">
        <is>
          <t>IRS — 6.2%</t>
        </is>
      </c>
    </row>
    <row r="8">
      <c r="A8" s="6" t="inlineStr">
        <is>
          <t>Employer Medicare rate</t>
        </is>
      </c>
      <c r="B8" s="21" t="n">
        <v>0.0145</v>
      </c>
      <c r="C8" s="19" t="inlineStr">
        <is>
          <t>IRS — 1.45%</t>
        </is>
      </c>
    </row>
    <row r="9">
      <c r="A9" s="6" t="inlineStr">
        <is>
          <t>Employer SS savings (annual)</t>
        </is>
      </c>
      <c r="B9" s="12" t="n">
        <v>11439</v>
      </c>
      <c r="C9" s="19" t="inlineStr">
        <is>
          <t>Per F-1 exempt RN</t>
        </is>
      </c>
    </row>
    <row r="10">
      <c r="A10" s="6" t="inlineStr">
        <is>
          <t>Employer Medicare savings (annual)</t>
        </is>
      </c>
      <c r="B10" s="12" t="n">
        <v>2896.55476578</v>
      </c>
      <c r="C10" s="19" t="inlineStr">
        <is>
          <t>Per F-1 exempt RN</t>
        </is>
      </c>
    </row>
    <row r="11">
      <c r="A11" s="6" t="inlineStr">
        <is>
          <t>Annual employer FICA savings</t>
        </is>
      </c>
      <c r="B11" s="12" t="n">
        <v>14335.55476578</v>
      </c>
      <c r="C11" s="19" t="inlineStr">
        <is>
          <t>Sum of above</t>
        </is>
      </c>
    </row>
    <row r="12">
      <c r="A12" s="6" t="inlineStr">
        <is>
          <t>Run-rate monthly savings</t>
        </is>
      </c>
      <c r="B12" s="12" t="n">
        <v>1194.629563815</v>
      </c>
      <c r="C12" s="19" t="inlineStr">
        <is>
          <t>÷ 12</t>
        </is>
      </c>
    </row>
    <row r="13">
      <c r="A13" s="6" t="inlineStr">
        <is>
          <t>Cohort visa-exempt share η</t>
        </is>
      </c>
      <c r="B13" s="21" t="n">
        <v>1</v>
      </c>
      <c r="C13" s="19" t="inlineStr">
        <is>
          <t>F-1 confirmed default</t>
        </is>
      </c>
    </row>
    <row r="14">
      <c r="A14" s="6" t="inlineStr">
        <is>
          <t>FICA-eligible months</t>
        </is>
      </c>
      <c r="B14" s="18" t="n">
        <v>24</v>
      </c>
      <c r="C14" s="19" t="inlineStr">
        <is>
          <t>Per IRS NRA window</t>
        </is>
      </c>
    </row>
    <row r="15">
      <c r="A15" s="6" t="inlineStr">
        <is>
          <t>IRS source</t>
        </is>
      </c>
      <c r="B15" s="18" t="inlineStr">
        <is>
          <t>IRC §3121(b)(19) + IRS Pub 519</t>
        </is>
      </c>
      <c r="C15" s="19" t="inlineStr">
        <is>
          <t>https://www.irs.gov/individuals/international-taxpayers/foreign-student-liability-for-social-security-and-medicare-taxes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6" customWidth="1" min="4" max="4"/>
    <col width="26" customWidth="1" min="5" max="5"/>
    <col width="12" customWidth="1" min="6" max="6"/>
    <col width="14" customWidth="1" min="7" max="7"/>
    <col width="12" customWidth="1" min="8" max="8"/>
    <col width="16" customWidth="1" min="9" max="9"/>
    <col width="16" customWidth="1" min="10" max="10"/>
    <col width="18" customWidth="1" min="11" max="11"/>
    <col width="22" customWidth="1" min="12" max="12"/>
    <col width="12" customWidth="1" min="13" max="13"/>
    <col width="18" customWidth="1" min="14" max="14"/>
    <col width="18" customWidth="1" min="15" max="15"/>
    <col width="16" customWidth="1" min="16" max="16"/>
    <col width="16" customWidth="1" min="17" max="17"/>
    <col width="22" customWidth="1" min="18" max="18"/>
    <col width="16" customWidth="1" min="19" max="19"/>
    <col width="16" customWidth="1" min="20" max="20"/>
    <col width="18" customWidth="1" min="21" max="21"/>
    <col width="10" customWidth="1" min="22" max="22"/>
    <col width="24" customWidth="1" min="23" max="23"/>
    <col width="12" customWidth="1" min="24" max="24"/>
  </cols>
  <sheetData>
    <row r="1">
      <c r="A1" s="3" t="inlineStr">
        <is>
          <t>CCN</t>
        </is>
      </c>
      <c r="B1" s="3" t="inlineStr">
        <is>
          <t>Hospital</t>
        </is>
      </c>
      <c r="C1" s="3" t="inlineStr">
        <is>
          <t>City</t>
        </is>
      </c>
      <c r="D1" s="3" t="inlineStr">
        <is>
          <t>State</t>
        </is>
      </c>
      <c r="E1" s="3" t="inlineStr">
        <is>
          <t>System</t>
        </is>
      </c>
      <c r="F1" s="3" t="inlineStr">
        <is>
          <t>RN Need (FTE)</t>
        </is>
      </c>
      <c r="G1" s="3" t="inlineStr">
        <is>
          <t>Loaded Staff $/hr</t>
        </is>
      </c>
      <c r="H1" s="3" t="inlineStr">
        <is>
          <t>Agency $/hr</t>
        </is>
      </c>
      <c r="I1" s="3" t="inlineStr">
        <is>
          <t>Agency Premium $/hr</t>
        </is>
      </c>
      <c r="J1" s="3" t="inlineStr">
        <is>
          <t>Florence $/RN/mo</t>
        </is>
      </c>
      <c r="K1" s="3" t="inlineStr">
        <is>
          <t>FICA Savings $/RN/mo</t>
        </is>
      </c>
      <c r="L1" s="3" t="inlineStr">
        <is>
          <t>FICA-Adj Effective $/RN/mo</t>
        </is>
      </c>
      <c r="M1" s="3" t="inlineStr">
        <is>
          <t>Actual Offset %</t>
        </is>
      </c>
      <c r="N1" s="3" t="inlineStr">
        <is>
          <t>Agency Avoided $/RN/mo</t>
        </is>
      </c>
      <c r="O1" s="3" t="inlineStr">
        <is>
          <t>Net Mo Savings $/RN</t>
        </is>
      </c>
      <c r="P1" s="3" t="inlineStr">
        <is>
          <t>Total Monthly Fee</t>
        </is>
      </c>
      <c r="Q1" s="3" t="inlineStr">
        <is>
          <t>Total Monthly FICA</t>
        </is>
      </c>
      <c r="R1" s="3" t="inlineStr">
        <is>
          <t>Total Monthly Net Savings</t>
        </is>
      </c>
      <c r="S1" s="3" t="inlineStr">
        <is>
          <t>Term Florence Fee</t>
        </is>
      </c>
      <c r="T1" s="3" t="inlineStr">
        <is>
          <t>Term Net Savings</t>
        </is>
      </c>
      <c r="U1" s="3" t="inlineStr">
        <is>
          <t>Constrained By</t>
        </is>
      </c>
      <c r="V1" s="3" t="inlineStr">
        <is>
          <t>Confidence</t>
        </is>
      </c>
      <c r="W1" s="3" t="inlineStr">
        <is>
          <t>Data Source</t>
        </is>
      </c>
      <c r="X1" s="3" t="inlineStr">
        <is>
          <t>Manual Review</t>
        </is>
      </c>
    </row>
    <row r="2">
      <c r="A2" t="inlineStr">
        <is>
          <t>050283</t>
        </is>
      </c>
      <c r="B2" t="inlineStr">
        <is>
          <t>STANFORD HEALTH CARE TRI-VALLEY</t>
        </is>
      </c>
      <c r="C2" t="inlineStr">
        <is>
          <t>PLEASANTON</t>
        </is>
      </c>
      <c r="D2" t="inlineStr">
        <is>
          <t>CA</t>
        </is>
      </c>
      <c r="E2" t="inlineStr">
        <is>
          <t>Stanford Health</t>
        </is>
      </c>
      <c r="F2" s="22" t="n">
        <v>32.4</v>
      </c>
      <c r="G2" s="23" t="n">
        <v>101.289675</v>
      </c>
      <c r="H2" s="23" t="n">
        <v>119.32</v>
      </c>
      <c r="I2" s="23" t="n">
        <v>18.03032499999999</v>
      </c>
      <c r="J2" s="24" t="n">
        <v>1884.3786</v>
      </c>
      <c r="K2" s="24" t="n">
        <v>942.1893</v>
      </c>
      <c r="L2" s="24" t="n">
        <v>942.1893</v>
      </c>
      <c r="M2" s="25" t="n">
        <v>0.5</v>
      </c>
      <c r="N2" s="24" t="n">
        <v>2812.730699999999</v>
      </c>
      <c r="O2" s="24" t="n">
        <v>1870.541399999999</v>
      </c>
      <c r="P2" s="24" t="n">
        <v>61118.20466769193</v>
      </c>
      <c r="Q2" s="24" t="n">
        <v>30559.10233384596</v>
      </c>
      <c r="R2" s="24" t="n">
        <v>60669.40694645487</v>
      </c>
      <c r="S2" s="24" t="n">
        <v>1466836.912024606</v>
      </c>
      <c r="T2" s="24" t="n">
        <v>1456065.766714917</v>
      </c>
      <c r="U2" t="inlineStr">
        <is>
          <t>target</t>
        </is>
      </c>
      <c r="V2" s="22" t="n">
        <v>0.92</v>
      </c>
      <c r="W2" t="inlineStr">
        <is>
          <t>hcris_nmrc_agency_per_hospital</t>
        </is>
      </c>
      <c r="X2" t="b">
        <v>0</v>
      </c>
    </row>
    <row r="3">
      <c r="A3" t="inlineStr">
        <is>
          <t>050441</t>
        </is>
      </c>
      <c r="B3" t="inlineStr">
        <is>
          <t>STANFORD HEALTH CARE</t>
        </is>
      </c>
      <c r="C3" t="inlineStr">
        <is>
          <t>STANFORD</t>
        </is>
      </c>
      <c r="D3" t="inlineStr">
        <is>
          <t>CA</t>
        </is>
      </c>
      <c r="E3" t="inlineStr">
        <is>
          <t>Stanford Health</t>
        </is>
      </c>
      <c r="F3" s="22" t="n">
        <v>333.4</v>
      </c>
      <c r="G3" s="23" t="n">
        <v>111.58169</v>
      </c>
      <c r="H3" s="23" t="n">
        <v>111.58169</v>
      </c>
      <c r="I3" s="23" t="n">
        <v>0</v>
      </c>
      <c r="J3" s="24" t="n">
        <v>0</v>
      </c>
      <c r="K3" s="24" t="n">
        <v>972.1436399999999</v>
      </c>
      <c r="L3" s="24" t="n">
        <v>-972.1436399999999</v>
      </c>
      <c r="M3" s="25" t="n">
        <v>0</v>
      </c>
      <c r="N3" s="24" t="n">
        <v>0</v>
      </c>
      <c r="O3" s="24" t="n">
        <v>972.1436399999999</v>
      </c>
      <c r="P3" s="24" t="n">
        <v>0</v>
      </c>
      <c r="Q3" s="24" t="n">
        <v>0</v>
      </c>
      <c r="R3" s="24" t="n">
        <v>0</v>
      </c>
      <c r="S3" s="24" t="n">
        <v>0</v>
      </c>
      <c r="T3" s="24" t="n">
        <v>0</v>
      </c>
      <c r="U3" t="inlineStr">
        <is>
          <t>manual_review</t>
        </is>
      </c>
      <c r="V3" s="22" t="n">
        <v>0.92</v>
      </c>
      <c r="W3" t="inlineStr">
        <is>
          <t>hcris_nmrc_agency_per_hospital</t>
        </is>
      </c>
      <c r="X3" t="b">
        <v>1</v>
      </c>
    </row>
    <row r="4">
      <c r="A4" t="inlineStr">
        <is>
          <t>053305</t>
        </is>
      </c>
      <c r="B4" t="inlineStr">
        <is>
          <t>LUCILE SALTER PACKARD CHILDREN'S HSP AT STANFORD</t>
        </is>
      </c>
      <c r="C4" t="inlineStr">
        <is>
          <t>PALO ALTO</t>
        </is>
      </c>
      <c r="D4" t="inlineStr">
        <is>
          <t>CA</t>
        </is>
      </c>
      <c r="E4" t="inlineStr">
        <is>
          <t>Stanford Health</t>
        </is>
      </c>
      <c r="F4" s="22" t="n">
        <v>1464.8</v>
      </c>
      <c r="G4" s="23" t="n">
        <v>112.13169</v>
      </c>
      <c r="H4" s="23" t="n">
        <v>142.89</v>
      </c>
      <c r="I4" s="23" t="n">
        <v>30.75830999999999</v>
      </c>
      <c r="J4" s="24" t="n">
        <v>1944.28728</v>
      </c>
      <c r="K4" s="24" t="n">
        <v>972.1436399999999</v>
      </c>
      <c r="L4" s="24" t="n">
        <v>972.1436399999999</v>
      </c>
      <c r="M4" s="25" t="n">
        <v>0.5</v>
      </c>
      <c r="N4" s="24" t="n">
        <v>4798.296359999999</v>
      </c>
      <c r="O4" s="24" t="n">
        <v>3826.15272</v>
      </c>
      <c r="P4" s="24" t="n">
        <v>2847992.007743999</v>
      </c>
      <c r="Q4" s="24" t="n">
        <v>1423996.003872</v>
      </c>
      <c r="R4" s="24" t="n">
        <v>5604548.504256</v>
      </c>
      <c r="S4" s="24" t="n">
        <v>68351808.185856</v>
      </c>
      <c r="T4" s="24" t="n">
        <v>134509164.102144</v>
      </c>
      <c r="U4" t="inlineStr">
        <is>
          <t>target</t>
        </is>
      </c>
      <c r="V4" s="22" t="n">
        <v>0.85</v>
      </c>
      <c r="W4" t="inlineStr">
        <is>
          <t>hcris_derived_with_state_agency</t>
        </is>
      </c>
      <c r="X4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Sensitivity Analysis (median fee / RN per month at each parameter)</t>
        </is>
      </c>
    </row>
    <row r="3">
      <c r="A3" s="3" t="inlineStr">
        <is>
          <t>Target FICA Offset %</t>
        </is>
      </c>
      <c r="B3" s="3" t="inlineStr">
        <is>
          <t>η = 0.0</t>
        </is>
      </c>
      <c r="C3" s="3" t="inlineStr">
        <is>
          <t>η = 0.5</t>
        </is>
      </c>
      <c r="D3" s="3" t="inlineStr">
        <is>
          <t>η = 1.0</t>
        </is>
      </c>
    </row>
    <row r="4">
      <c r="A4" t="inlineStr">
        <is>
          <t>30%</t>
        </is>
      </c>
      <c r="B4" s="24" t="n">
        <v>750</v>
      </c>
      <c r="C4" s="24" t="n">
        <v>1595.27745</v>
      </c>
      <c r="D4" s="24" t="n">
        <v>2000</v>
      </c>
    </row>
    <row r="5">
      <c r="A5" t="inlineStr">
        <is>
          <t>40%</t>
        </is>
      </c>
      <c r="B5" s="24" t="n">
        <v>750</v>
      </c>
      <c r="C5" s="24" t="n">
        <v>1196.4580875</v>
      </c>
      <c r="D5" s="24" t="n">
        <v>2000</v>
      </c>
    </row>
    <row r="6">
      <c r="A6" t="inlineStr">
        <is>
          <t>50%</t>
        </is>
      </c>
      <c r="B6" s="24" t="n">
        <v>750</v>
      </c>
      <c r="C6" s="24" t="n">
        <v>957.1664699999999</v>
      </c>
      <c r="D6" s="24" t="n">
        <v>1914.33294</v>
      </c>
    </row>
    <row r="7">
      <c r="A7" t="inlineStr">
        <is>
          <t>60%</t>
        </is>
      </c>
      <c r="B7" s="24" t="n">
        <v>750</v>
      </c>
      <c r="C7" s="24" t="n">
        <v>797.638725</v>
      </c>
      <c r="D7" s="24" t="n">
        <v>1595.27745</v>
      </c>
    </row>
    <row r="8">
      <c r="A8" t="inlineStr">
        <is>
          <t>75%</t>
        </is>
      </c>
      <c r="B8" s="24" t="n">
        <v>750</v>
      </c>
      <c r="C8" s="24" t="n">
        <v>750</v>
      </c>
      <c r="D8" s="24" t="n">
        <v>1276.22196</v>
      </c>
    </row>
    <row r="11">
      <c r="A11" s="19" t="inlineStr">
        <is>
          <t>Note: Sensitivity shown at median across hospitals in this workbook scope.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</cols>
  <sheetData>
    <row r="1">
      <c r="A1" s="1" t="inlineStr">
        <is>
          <t>Market Benchmarks — by state median</t>
        </is>
      </c>
    </row>
    <row r="3">
      <c r="A3" s="3" t="inlineStr">
        <is>
          <t>State</t>
        </is>
      </c>
      <c r="B3" s="3" t="inlineStr">
        <is>
          <t>Hospitals</t>
        </is>
      </c>
      <c r="C3" s="3" t="inlineStr">
        <is>
          <t>Median Staff $/hr</t>
        </is>
      </c>
      <c r="D3" s="3" t="inlineStr">
        <is>
          <t>Median Agency $/hr</t>
        </is>
      </c>
      <c r="E3" s="3" t="inlineStr">
        <is>
          <t>Median Premium $/hr</t>
        </is>
      </c>
      <c r="F3" s="3" t="inlineStr">
        <is>
          <t>Median Fee $/RN/mo</t>
        </is>
      </c>
      <c r="G3" s="3" t="inlineStr">
        <is>
          <t>Median FICA $/RN/mo</t>
        </is>
      </c>
    </row>
    <row r="4">
      <c r="A4" t="inlineStr">
        <is>
          <t>CA</t>
        </is>
      </c>
      <c r="B4" t="n">
        <v>3</v>
      </c>
      <c r="C4" s="23" t="n">
        <v>111.58169</v>
      </c>
      <c r="D4" s="23" t="n">
        <v>119.32</v>
      </c>
      <c r="E4" s="23" t="n">
        <v>18.03032499999999</v>
      </c>
      <c r="F4" s="24" t="n">
        <v>1884.3786</v>
      </c>
      <c r="G4" s="24" t="n">
        <v>972.1436399999999</v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6" customWidth="1" min="4" max="4"/>
    <col width="18" customWidth="1" min="5" max="5"/>
    <col width="22" customWidth="1" min="6" max="6"/>
    <col width="24" customWidth="1" min="7" max="7"/>
    <col width="14" customWidth="1" min="8" max="8"/>
    <col width="22" customWidth="1" min="9" max="9"/>
    <col width="14" customWidth="1" min="10" max="10"/>
    <col width="16" customWidth="1" min="11" max="11"/>
    <col width="14" customWidth="1" min="12" max="12"/>
    <col width="16" customWidth="1" min="13" max="13"/>
    <col width="16" customWidth="1" min="14" max="14"/>
    <col width="32" customWidth="1" min="15" max="15"/>
    <col width="14" customWidth="1" min="16" max="16"/>
  </cols>
  <sheetData>
    <row r="1">
      <c r="A1" s="3" t="inlineStr">
        <is>
          <t>CCN</t>
        </is>
      </c>
      <c r="B1" s="3" t="inlineStr">
        <is>
          <t>Hospital</t>
        </is>
      </c>
      <c r="C1" s="3" t="inlineStr">
        <is>
          <t>City</t>
        </is>
      </c>
      <c r="D1" s="3" t="inlineStr">
        <is>
          <t>State</t>
        </is>
      </c>
      <c r="E1" s="3" t="inlineStr">
        <is>
          <t>County</t>
        </is>
      </c>
      <c r="F1" s="3" t="inlineStr">
        <is>
          <t>Type</t>
        </is>
      </c>
      <c r="G1" s="3" t="inlineStr">
        <is>
          <t>Ownership</t>
        </is>
      </c>
      <c r="H1" s="3" t="inlineStr">
        <is>
          <t>HCRIS Total FTE</t>
        </is>
      </c>
      <c r="I1" s="3" t="inlineStr">
        <is>
          <t>HCRIS Contract Labor $</t>
        </is>
      </c>
      <c r="J1" s="3" t="inlineStr">
        <is>
          <t>CL Intensity %</t>
        </is>
      </c>
      <c r="K1" s="3" t="inlineStr">
        <is>
          <t>Operating Margin %</t>
        </is>
      </c>
      <c r="L1" s="3" t="inlineStr">
        <is>
          <t>Derived RN Need</t>
        </is>
      </c>
      <c r="M1" s="3" t="inlineStr">
        <is>
          <t>Loaded Staff $/hr</t>
        </is>
      </c>
      <c r="N1" s="3" t="inlineStr">
        <is>
          <t>All-in Agency $/hr</t>
        </is>
      </c>
      <c r="O1" s="3" t="inlineStr">
        <is>
          <t>Wage/Agency Source</t>
        </is>
      </c>
      <c r="P1" s="3" t="inlineStr">
        <is>
          <t>Data Confidence</t>
        </is>
      </c>
    </row>
    <row r="2">
      <c r="A2" t="inlineStr">
        <is>
          <t>050283</t>
        </is>
      </c>
      <c r="B2" t="inlineStr">
        <is>
          <t>STANFORD HEALTH CARE TRI-VALLEY</t>
        </is>
      </c>
      <c r="C2" t="inlineStr">
        <is>
          <t>PLEASANTON</t>
        </is>
      </c>
      <c r="D2" t="inlineStr">
        <is>
          <t>CA</t>
        </is>
      </c>
      <c r="E2" t="inlineStr">
        <is>
          <t>ALAMEDA</t>
        </is>
      </c>
      <c r="F2" t="inlineStr">
        <is>
          <t>Acute Care Hospitals</t>
        </is>
      </c>
      <c r="G2" t="inlineStr">
        <is>
          <t>Voluntary non-profit - Private</t>
        </is>
      </c>
      <c r="H2" s="24" t="n">
        <v>1574</v>
      </c>
      <c r="I2" s="24" t="n">
        <v>10062109</v>
      </c>
      <c r="J2" s="25" t="n">
        <v>0.0414</v>
      </c>
      <c r="K2" s="25" t="n">
        <v>0.1332</v>
      </c>
      <c r="L2" s="24" t="n">
        <v>32.4</v>
      </c>
      <c r="M2" s="24" t="n">
        <v>101.289675</v>
      </c>
      <c r="N2" s="24" t="n">
        <v>119.32</v>
      </c>
      <c r="O2" t="inlineStr">
        <is>
          <t>hcris_nmrc_agency_per_hospital</t>
        </is>
      </c>
      <c r="P2" s="26" t="n">
        <v>0.92</v>
      </c>
    </row>
    <row r="3">
      <c r="A3" t="inlineStr">
        <is>
          <t>050441</t>
        </is>
      </c>
      <c r="B3" t="inlineStr">
        <is>
          <t>STANFORD HEALTH CARE</t>
        </is>
      </c>
      <c r="C3" t="inlineStr">
        <is>
          <t>STANFORD</t>
        </is>
      </c>
      <c r="D3" t="inlineStr">
        <is>
          <t>CA</t>
        </is>
      </c>
      <c r="E3" t="inlineStr">
        <is>
          <t>SANTA CLARA</t>
        </is>
      </c>
      <c r="F3" t="inlineStr">
        <is>
          <t>Acute Care Hospitals</t>
        </is>
      </c>
      <c r="G3" t="inlineStr">
        <is>
          <t>Voluntary non-profit - Private</t>
        </is>
      </c>
      <c r="H3" s="24" t="n">
        <v>16078</v>
      </c>
      <c r="I3" s="24" t="n">
        <v>92139669</v>
      </c>
      <c r="J3" s="25" t="n">
        <v>0.036</v>
      </c>
      <c r="K3" s="25" t="n">
        <v>0.3412</v>
      </c>
      <c r="L3" s="24" t="n">
        <v>333.4</v>
      </c>
      <c r="M3" s="24" t="n">
        <v>111.58169</v>
      </c>
      <c r="N3" s="24" t="n">
        <v>111.58169</v>
      </c>
      <c r="O3" t="inlineStr">
        <is>
          <t>hcris_nmrc_agency_per_hospital</t>
        </is>
      </c>
      <c r="P3" s="26" t="n">
        <v>0.92</v>
      </c>
    </row>
    <row r="4">
      <c r="A4" t="inlineStr">
        <is>
          <t>053305</t>
        </is>
      </c>
      <c r="B4" t="inlineStr">
        <is>
          <t>LUCILE SALTER PACKARD CHILDREN'S HSP AT STANFORD</t>
        </is>
      </c>
      <c r="C4" t="inlineStr">
        <is>
          <t>PALO ALTO</t>
        </is>
      </c>
      <c r="D4" t="inlineStr">
        <is>
          <t>CA</t>
        </is>
      </c>
      <c r="E4" t="inlineStr">
        <is>
          <t>SANTA CLARA</t>
        </is>
      </c>
      <c r="F4" t="inlineStr">
        <is>
          <t>Childrens</t>
        </is>
      </c>
      <c r="G4" t="inlineStr">
        <is>
          <t>Voluntary non-profit - Private</t>
        </is>
      </c>
      <c r="H4" s="24" t="n">
        <v>5425</v>
      </c>
      <c r="I4" t="inlineStr"/>
      <c r="J4" t="inlineStr"/>
      <c r="K4" s="25" t="n">
        <v>0.2643</v>
      </c>
      <c r="L4" s="24" t="n">
        <v>1464.8</v>
      </c>
      <c r="M4" s="24" t="n">
        <v>112.13169</v>
      </c>
      <c r="N4" s="24" t="n">
        <v>142.89</v>
      </c>
      <c r="O4" t="inlineStr">
        <is>
          <t>hcris_derived_with_state_agency</t>
        </is>
      </c>
      <c r="P4" s="26" t="n">
        <v>0.85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1" t="inlineStr">
        <is>
          <t>Sources, Methodology, and Compliance</t>
        </is>
      </c>
    </row>
    <row r="3" ht="36" customHeight="1">
      <c r="A3" s="27" t="inlineStr">
        <is>
          <t>Methodology</t>
        </is>
      </c>
      <c r="B3" s="28" t="inlineStr">
        <is>
          <t>Florence Workforce Restoration Economics v2.0 (May 28, 2026). Monthly Per-Nurse ROI Model with 50% FICA-Offset Target Pricing.</t>
        </is>
      </c>
    </row>
    <row r="5" ht="36" customHeight="1">
      <c r="A5" s="27" t="inlineStr">
        <is>
          <t>Required Compliance Statement</t>
        </is>
      </c>
      <c r="B5" s="28" t="inlineStr">
        <is>
          <t>Estimated employer-side FICA offset shown for eligible nurse cohorts only. Eligibility must be validated by payroll, tax counsel, and immigration counsel. Employee-side FICA benefit is shown separately as a nurse take-home benefit and is not included in employer ROI unless presented as combined economic value.</t>
        </is>
      </c>
    </row>
    <row r="7" ht="36" customHeight="1">
      <c r="A7" s="27" t="inlineStr">
        <is>
          <t>Hospital roster</t>
        </is>
      </c>
      <c r="B7" s="28" t="inlineStr">
        <is>
          <t>CMS Hospital General Information (data.cms.gov, refreshed quarterly).</t>
        </is>
      </c>
    </row>
    <row r="9" ht="36" customHeight="1">
      <c r="A9" s="27" t="inlineStr">
        <is>
          <t>Hospital labor data</t>
        </is>
      </c>
      <c r="B9" s="28" t="inlineStr">
        <is>
          <t>CMS HCRIS Hospital Provider Cost Report 2023 — per-hospital FTE, total salaries, wage-related costs, contract labor.</t>
        </is>
      </c>
    </row>
    <row r="11" ht="36" customHeight="1">
      <c r="A11" s="27" t="inlineStr">
        <is>
          <t>RN wage benchmarks</t>
        </is>
      </c>
      <c r="B11" s="28" t="inlineStr">
        <is>
          <t>BLS OEWS state-level placeholder (v0.5). Production: BLS OEWS API by MSA + occupation 29-1141.</t>
        </is>
      </c>
    </row>
    <row r="13" ht="36" customHeight="1">
      <c r="A13" s="27" t="inlineStr">
        <is>
          <t>Agency rate benchmarks</t>
        </is>
      </c>
      <c r="B13" s="28" t="inlineStr">
        <is>
          <t>Hybrid: CommonSpirit internal anchors for matched hospitals, state-median imputation for the remainder.</t>
        </is>
      </c>
    </row>
    <row r="15" ht="36" customHeight="1">
      <c r="A15" s="27" t="inlineStr">
        <is>
          <t>FICA exemption — primary source</t>
        </is>
      </c>
      <c r="B15" s="28" t="inlineStr">
        <is>
          <t>IRS — Foreign Student Liability for Social Security and Medicare Taxes: https://www.irs.gov/individuals/international-taxpayers/foreign-student-liability-for-social-security-and-medicare-taxes</t>
        </is>
      </c>
    </row>
    <row r="17" ht="36" customHeight="1">
      <c r="A17" s="27" t="inlineStr">
        <is>
          <t>FICA exemption — statutory</t>
        </is>
      </c>
      <c r="B17" s="28" t="inlineStr">
        <is>
          <t>IRC §3121(b)(19); IRS Publication 519; IRS Publication 15 (Circular E).</t>
        </is>
      </c>
    </row>
    <row r="19" ht="36" customHeight="1">
      <c r="A19" s="27" t="inlineStr">
        <is>
          <t>Confidence tiers</t>
        </is>
      </c>
      <c r="B19" s="28" t="inlineStr">
        <is>
          <t>1.00 customer-disclosed · 0.85 HCRIS-derived · 0.60 state-imputed (CS anchor) · 0.40 national-imputed · &lt;0.50 triggers STANDARD_FEE fallback.</t>
        </is>
      </c>
    </row>
    <row r="21" ht="36" customHeight="1">
      <c r="A21" s="27" t="inlineStr">
        <is>
          <t>Manual review</t>
        </is>
      </c>
      <c r="B21" s="28" t="inlineStr">
        <is>
          <t>Only fires for genuinely-negative agency premium. Low-confidence agency-rate rows are priced at standard fee with caveat pending customer disclosure.</t>
        </is>
      </c>
    </row>
    <row r="23" ht="36" customHeight="1">
      <c r="A23" s="27" t="inlineStr">
        <is>
          <t>Caveats</t>
        </is>
      </c>
      <c r="B23" s="28" t="inlineStr">
        <is>
          <t>Not legal, tax, immigration, accounting, or payroll advice. All tax and immigration assumptions should be confirmed by the customer and its advisors before use as contractual commitments.</t>
        </is>
      </c>
    </row>
  </sheetData>
  <mergeCells count="12">
    <mergeCell ref="B19"/>
    <mergeCell ref="B17"/>
    <mergeCell ref="B9"/>
    <mergeCell ref="B13"/>
    <mergeCell ref="B21"/>
    <mergeCell ref="B15"/>
    <mergeCell ref="B7"/>
    <mergeCell ref="B11"/>
    <mergeCell ref="A1:B1"/>
    <mergeCell ref="B3"/>
    <mergeCell ref="B5"/>
    <mergeCell ref="B2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Run Log (audit trail)</t>
        </is>
      </c>
    </row>
    <row r="3">
      <c r="A3" s="6" t="inlineStr">
        <is>
          <t>Target</t>
        </is>
      </c>
      <c r="B3" s="29" t="inlineStr">
        <is>
          <t>Stanford Health</t>
        </is>
      </c>
    </row>
    <row r="4">
      <c r="A4" s="6" t="inlineStr">
        <is>
          <t>Scope</t>
        </is>
      </c>
      <c r="B4" s="29" t="inlineStr">
        <is>
          <t>3 hospitals in 1 states (CA)</t>
        </is>
      </c>
    </row>
    <row r="5">
      <c r="A5" s="6" t="inlineStr">
        <is>
          <t>Generated at</t>
        </is>
      </c>
      <c r="B5" s="29" t="inlineStr">
        <is>
          <t>2026-05-28T11:55:35</t>
        </is>
      </c>
    </row>
    <row r="6">
      <c r="A6" s="6" t="inlineStr">
        <is>
          <t>Engine version</t>
        </is>
      </c>
      <c r="B6" s="29" t="inlineStr">
        <is>
          <t>v0.5-methodology-v2-2026-05</t>
        </is>
      </c>
    </row>
    <row r="7">
      <c r="A7" s="6" t="inlineStr">
        <is>
          <t>Pricing mode</t>
        </is>
      </c>
      <c r="B7" s="29" t="inlineStr">
        <is>
          <t>fica_offset_target</t>
        </is>
      </c>
    </row>
    <row r="8">
      <c r="A8" s="6" t="inlineStr">
        <is>
          <t>Cohort η</t>
        </is>
      </c>
      <c r="B8" s="29" t="inlineStr">
        <is>
          <t>1.0</t>
        </is>
      </c>
    </row>
    <row r="9">
      <c r="A9" s="6" t="inlineStr">
        <is>
          <t>FICA eligible months</t>
        </is>
      </c>
      <c r="B9" s="29" t="inlineStr">
        <is>
          <t>24</t>
        </is>
      </c>
    </row>
    <row r="10">
      <c r="A10" s="6" t="inlineStr">
        <is>
          <t>Term months</t>
        </is>
      </c>
      <c r="B10" s="29" t="inlineStr">
        <is>
          <t>24</t>
        </is>
      </c>
    </row>
    <row r="11">
      <c r="A11" s="6" t="inlineStr">
        <is>
          <t>Target offset %</t>
        </is>
      </c>
      <c r="B11" s="29" t="inlineStr">
        <is>
          <t>50%</t>
        </is>
      </c>
    </row>
    <row r="12">
      <c r="A12" s="6" t="inlineStr">
        <is>
          <t>Floor / Ceiling</t>
        </is>
      </c>
      <c r="B12" s="29" t="inlineStr">
        <is>
          <t>$750 – $2,000</t>
        </is>
      </c>
    </row>
    <row r="13">
      <c r="A13" s="6" t="inlineStr">
        <is>
          <t>Standard fee</t>
        </is>
      </c>
      <c r="B13" s="29" t="inlineStr">
        <is>
          <t>$1,750</t>
        </is>
      </c>
    </row>
    <row r="14">
      <c r="A14" s="6" t="inlineStr">
        <is>
          <t>Low-confidence fallback to standard</t>
        </is>
      </c>
      <c r="B14" s="29" t="inlineStr">
        <is>
          <t>True</t>
        </is>
      </c>
    </row>
    <row r="15">
      <c r="A15" s="6" t="inlineStr">
        <is>
          <t>Immigration add-on enabled</t>
        </is>
      </c>
      <c r="B15" s="29" t="inlineStr">
        <is>
          <t>False</t>
        </is>
      </c>
    </row>
    <row r="16">
      <c r="A16" s="6" t="inlineStr">
        <is>
          <t>Direct partner share</t>
        </is>
      </c>
      <c r="B16" s="29" t="inlineStr">
        <is>
          <t>0%</t>
        </is>
      </c>
    </row>
    <row r="17">
      <c r="A17" s="6" t="inlineStr">
        <is>
          <t>AMN partner share</t>
        </is>
      </c>
      <c r="B17" s="29" t="inlineStr">
        <is>
          <t>20%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2026-05-28T18:55:35Z</dcterms:created>
  <dcterms:modified xsi:type="dcterms:W3CDTF">2026-05-28T18:55:35Z</dcterms:modified>
</cp:coreProperties>
</file>