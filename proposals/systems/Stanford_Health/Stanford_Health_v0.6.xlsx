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Stanford Health</t>
        </is>
      </c>
    </row>
    <row r="2">
      <c r="A2" s="2" t="inlineStr">
        <is>
          <t>Scope: 3 hospitals in 1 states (CA)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1914.33294</v>
      </c>
    </row>
    <row r="6">
      <c r="A6" s="6" t="inlineStr">
        <is>
          <t>②  Employer FICA Savings / RN/mo</t>
        </is>
      </c>
      <c r="B6" s="7" t="n">
        <v>957.1664699999999</v>
      </c>
    </row>
    <row r="7">
      <c r="A7" s="6" t="inlineStr">
        <is>
          <t>③  FICA-Adjusted Effective Cost / RN/mo</t>
        </is>
      </c>
      <c r="B7" s="7" t="n">
        <v>957.1664699999999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2848.347059999999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3</v>
      </c>
    </row>
    <row r="15">
      <c r="A15" s="6" t="inlineStr">
        <is>
          <t>Hospitals quotable</t>
        </is>
      </c>
      <c r="B15" s="11" t="n">
        <v>2</v>
      </c>
    </row>
    <row r="16">
      <c r="A16" s="6" t="inlineStr">
        <is>
          <t>Hospitals flagged for manual review</t>
        </is>
      </c>
      <c r="B16" s="11" t="n">
        <v>1</v>
      </c>
    </row>
    <row r="17">
      <c r="A17" s="6" t="inlineStr">
        <is>
          <t>Total Covered RN Need (FTE)</t>
        </is>
      </c>
      <c r="B17" s="11" t="n">
        <v>1497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1914.33294</v>
      </c>
    </row>
    <row r="26">
      <c r="A26" s="6" t="inlineStr">
        <is>
          <t>− Employer FICA Offset</t>
        </is>
      </c>
      <c r="B26" s="12" t="n">
        <v>-957.1664699999999</v>
      </c>
    </row>
    <row r="27">
      <c r="A27" s="6">
        <f> FICA-Adjusted Effective Cost</f>
        <v/>
      </c>
      <c r="B27" s="12" t="n">
        <v>957.1664699999999</v>
      </c>
    </row>
    <row r="28">
      <c r="A28" s="6" t="inlineStr">
        <is>
          <t>+ Agency Premium Avoided</t>
        </is>
      </c>
      <c r="B28" s="12" t="n">
        <v>4755.392076815589</v>
      </c>
    </row>
    <row r="29">
      <c r="A29" s="6">
        <f> Net Monthly Savings per RN</f>
        <v/>
      </c>
      <c r="B29" s="13" t="n">
        <v>2848.347059999999</v>
      </c>
    </row>
    <row r="32">
      <c r="A32" s="3" t="inlineStr">
        <is>
          <t>PORTFOLIO TOTALS (2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2909110.212411691</v>
      </c>
    </row>
    <row r="34">
      <c r="A34" s="6" t="inlineStr">
        <is>
          <t>Total monthly FICA offset to hospitals</t>
        </is>
      </c>
      <c r="B34" s="14" t="n">
        <v>1454555.106205846</v>
      </c>
    </row>
    <row r="35">
      <c r="A35" s="6" t="inlineStr">
        <is>
          <t>Total monthly FICA-adjusted effective cost</t>
        </is>
      </c>
      <c r="B35" s="14" t="n">
        <v>1454555.106205846</v>
      </c>
    </row>
    <row r="36">
      <c r="A36" s="6" t="inlineStr">
        <is>
          <t>Total monthly agency premium avoided</t>
        </is>
      </c>
      <c r="B36" s="14" t="n">
        <v>7119773.017408299</v>
      </c>
    </row>
    <row r="37">
      <c r="A37" s="6" t="inlineStr">
        <is>
          <t>Total monthly net hospital savings</t>
        </is>
      </c>
      <c r="B37" s="14" t="n">
        <v>5665217.911202455</v>
      </c>
    </row>
    <row r="38">
      <c r="A38" s="6" t="inlineStr">
        <is>
          <t>Term (24mo) Florence fee</t>
        </is>
      </c>
      <c r="B38" s="14" t="n">
        <v>69818645.0978806</v>
      </c>
    </row>
    <row r="39">
      <c r="A39" s="6" t="inlineStr">
        <is>
          <t>Term (24mo) Hospital net savings</t>
        </is>
      </c>
      <c r="B39" s="14" t="n">
        <v>135965229.8688589</v>
      </c>
    </row>
    <row r="40">
      <c r="A40" s="6" t="inlineStr">
        <is>
          <t>Savings : Fee ratio</t>
        </is>
      </c>
      <c r="B40" s="15" t="n">
        <v>1.947405734932921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199762.39764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8" t="n">
        <v>184500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11439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2896.55476578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14335.55476578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1194.629563815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050283</t>
        </is>
      </c>
      <c r="B2" t="inlineStr">
        <is>
          <t>STANFORD HEALTH CARE TRI-VALLEY</t>
        </is>
      </c>
      <c r="C2" t="inlineStr">
        <is>
          <t>PLEASANTON</t>
        </is>
      </c>
      <c r="D2" t="inlineStr">
        <is>
          <t>CA</t>
        </is>
      </c>
      <c r="E2" t="inlineStr">
        <is>
          <t>Stanford Health</t>
        </is>
      </c>
      <c r="F2" s="22" t="n">
        <v>32.4</v>
      </c>
      <c r="G2" s="23" t="n">
        <v>101.289675</v>
      </c>
      <c r="H2" s="23" t="n">
        <v>119.32</v>
      </c>
      <c r="I2" s="23" t="n">
        <v>18.03032499999999</v>
      </c>
      <c r="J2" s="24" t="n">
        <v>1884.3786</v>
      </c>
      <c r="K2" s="24" t="n">
        <v>942.1893</v>
      </c>
      <c r="L2" s="24" t="n">
        <v>942.1893</v>
      </c>
      <c r="M2" s="25" t="n">
        <v>0.5</v>
      </c>
      <c r="N2" s="24" t="n">
        <v>2812.730699999999</v>
      </c>
      <c r="O2" s="24" t="n">
        <v>1870.541399999999</v>
      </c>
      <c r="P2" s="24" t="n">
        <v>61118.20466769193</v>
      </c>
      <c r="Q2" s="24" t="n">
        <v>30559.10233384596</v>
      </c>
      <c r="R2" s="24" t="n">
        <v>60669.40694645487</v>
      </c>
      <c r="S2" s="24" t="n">
        <v>1466836.912024606</v>
      </c>
      <c r="T2" s="24" t="n">
        <v>1456065.766714917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  <row r="3">
      <c r="A3" t="inlineStr">
        <is>
          <t>050441</t>
        </is>
      </c>
      <c r="B3" t="inlineStr">
        <is>
          <t>STANFORD HEALTH CARE</t>
        </is>
      </c>
      <c r="C3" t="inlineStr">
        <is>
          <t>STANFORD</t>
        </is>
      </c>
      <c r="D3" t="inlineStr">
        <is>
          <t>CA</t>
        </is>
      </c>
      <c r="E3" t="inlineStr">
        <is>
          <t>Stanford Health</t>
        </is>
      </c>
      <c r="F3" s="22" t="n">
        <v>333.4</v>
      </c>
      <c r="G3" s="23" t="n">
        <v>111.58169</v>
      </c>
      <c r="H3" s="23" t="n">
        <v>111.58169</v>
      </c>
      <c r="I3" s="23" t="n">
        <v>0</v>
      </c>
      <c r="J3" s="24" t="n">
        <v>0</v>
      </c>
      <c r="K3" s="24" t="n">
        <v>972.1436399999999</v>
      </c>
      <c r="L3" s="24" t="n">
        <v>-972.1436399999999</v>
      </c>
      <c r="M3" s="25" t="n">
        <v>0</v>
      </c>
      <c r="N3" s="24" t="n">
        <v>0</v>
      </c>
      <c r="O3" s="24" t="n">
        <v>972.1436399999999</v>
      </c>
      <c r="P3" s="24" t="n">
        <v>0</v>
      </c>
      <c r="Q3" s="24" t="n">
        <v>0</v>
      </c>
      <c r="R3" s="24" t="n">
        <v>0</v>
      </c>
      <c r="S3" s="24" t="n">
        <v>0</v>
      </c>
      <c r="T3" s="24" t="n">
        <v>0</v>
      </c>
      <c r="U3" t="inlineStr">
        <is>
          <t>manual_review</t>
        </is>
      </c>
      <c r="V3" s="22" t="n">
        <v>0.92</v>
      </c>
      <c r="W3" t="inlineStr">
        <is>
          <t>hcris_nmrc_agency_per_hospital</t>
        </is>
      </c>
      <c r="X3" t="b">
        <v>1</v>
      </c>
    </row>
    <row r="4">
      <c r="A4" t="inlineStr">
        <is>
          <t>053305</t>
        </is>
      </c>
      <c r="B4" t="inlineStr">
        <is>
          <t>LUCILE SALTER PACKARD CHILDREN'S HSP AT STANFORD</t>
        </is>
      </c>
      <c r="C4" t="inlineStr">
        <is>
          <t>PALO ALTO</t>
        </is>
      </c>
      <c r="D4" t="inlineStr">
        <is>
          <t>CA</t>
        </is>
      </c>
      <c r="E4" t="inlineStr">
        <is>
          <t>Stanford Health</t>
        </is>
      </c>
      <c r="F4" s="22" t="n">
        <v>1464.8</v>
      </c>
      <c r="G4" s="23" t="n">
        <v>112.13169</v>
      </c>
      <c r="H4" s="23" t="n">
        <v>142.89</v>
      </c>
      <c r="I4" s="23" t="n">
        <v>30.75830999999999</v>
      </c>
      <c r="J4" s="24" t="n">
        <v>1944.28728</v>
      </c>
      <c r="K4" s="24" t="n">
        <v>972.1436399999999</v>
      </c>
      <c r="L4" s="24" t="n">
        <v>972.1436399999999</v>
      </c>
      <c r="M4" s="25" t="n">
        <v>0.5</v>
      </c>
      <c r="N4" s="24" t="n">
        <v>4798.296359999999</v>
      </c>
      <c r="O4" s="24" t="n">
        <v>3826.15272</v>
      </c>
      <c r="P4" s="24" t="n">
        <v>2847992.007743999</v>
      </c>
      <c r="Q4" s="24" t="n">
        <v>1423996.003872</v>
      </c>
      <c r="R4" s="24" t="n">
        <v>5604548.504256</v>
      </c>
      <c r="S4" s="24" t="n">
        <v>68351808.185856</v>
      </c>
      <c r="T4" s="24" t="n">
        <v>134509164.102144</v>
      </c>
      <c r="U4" t="inlineStr">
        <is>
          <t>target</t>
        </is>
      </c>
      <c r="V4" s="22" t="n">
        <v>0.85</v>
      </c>
      <c r="W4" t="inlineStr">
        <is>
          <t>hcris_derived_with_state_agency</t>
        </is>
      </c>
      <c r="X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1595.27745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1196.4580875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957.1664699999999</v>
      </c>
      <c r="D6" s="24" t="n">
        <v>1914.33294</v>
      </c>
    </row>
    <row r="7">
      <c r="A7" t="inlineStr">
        <is>
          <t>60%</t>
        </is>
      </c>
      <c r="B7" s="24" t="n">
        <v>750</v>
      </c>
      <c r="C7" s="24" t="n">
        <v>797.638725</v>
      </c>
      <c r="D7" s="24" t="n">
        <v>1595.27745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1276.22196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3</v>
      </c>
      <c r="C4" s="23" t="n">
        <v>111.58169</v>
      </c>
      <c r="D4" s="23" t="n">
        <v>119.32</v>
      </c>
      <c r="E4" s="23" t="n">
        <v>18.03032499999999</v>
      </c>
      <c r="F4" s="24" t="n">
        <v>1884.3786</v>
      </c>
      <c r="G4" s="24" t="n">
        <v>972.1436399999999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050283</t>
        </is>
      </c>
      <c r="B2" t="inlineStr">
        <is>
          <t>STANFORD HEALTH CARE TRI-VALLEY</t>
        </is>
      </c>
      <c r="C2" t="inlineStr">
        <is>
          <t>PLEASANTON</t>
        </is>
      </c>
      <c r="D2" t="inlineStr">
        <is>
          <t>CA</t>
        </is>
      </c>
      <c r="E2" t="inlineStr">
        <is>
          <t>ALAMEDA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1574</v>
      </c>
      <c r="I2" s="24" t="n">
        <v>10062109</v>
      </c>
      <c r="J2" s="25" t="n">
        <v>0.0414</v>
      </c>
      <c r="K2" s="25" t="n">
        <v>0.1332</v>
      </c>
      <c r="L2" s="24" t="n">
        <v>32.4</v>
      </c>
      <c r="M2" s="24" t="n">
        <v>101.289675</v>
      </c>
      <c r="N2" s="24" t="n">
        <v>119.32</v>
      </c>
      <c r="O2" t="inlineStr">
        <is>
          <t>hcris_nmrc_agency_per_hospital</t>
        </is>
      </c>
      <c r="P2" s="26" t="n">
        <v>0.92</v>
      </c>
    </row>
    <row r="3">
      <c r="A3" t="inlineStr">
        <is>
          <t>050441</t>
        </is>
      </c>
      <c r="B3" t="inlineStr">
        <is>
          <t>STANFORD HEALTH CARE</t>
        </is>
      </c>
      <c r="C3" t="inlineStr">
        <is>
          <t>STANFORD</t>
        </is>
      </c>
      <c r="D3" t="inlineStr">
        <is>
          <t>CA</t>
        </is>
      </c>
      <c r="E3" t="inlineStr">
        <is>
          <t>SANTA CLARA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16078</v>
      </c>
      <c r="I3" s="24" t="n">
        <v>92139669</v>
      </c>
      <c r="J3" s="25" t="n">
        <v>0.036</v>
      </c>
      <c r="K3" s="25" t="n">
        <v>0.3412</v>
      </c>
      <c r="L3" s="24" t="n">
        <v>333.4</v>
      </c>
      <c r="M3" s="24" t="n">
        <v>111.58169</v>
      </c>
      <c r="N3" s="24" t="n">
        <v>111.58169</v>
      </c>
      <c r="O3" t="inlineStr">
        <is>
          <t>hcris_nmrc_agency_per_hospital</t>
        </is>
      </c>
      <c r="P3" s="26" t="n">
        <v>0.92</v>
      </c>
    </row>
    <row r="4">
      <c r="A4" t="inlineStr">
        <is>
          <t>053305</t>
        </is>
      </c>
      <c r="B4" t="inlineStr">
        <is>
          <t>LUCILE SALTER PACKARD CHILDREN'S HSP AT STANFORD</t>
        </is>
      </c>
      <c r="C4" t="inlineStr">
        <is>
          <t>PALO ALTO</t>
        </is>
      </c>
      <c r="D4" t="inlineStr">
        <is>
          <t>CA</t>
        </is>
      </c>
      <c r="E4" t="inlineStr">
        <is>
          <t>SANTA CLARA</t>
        </is>
      </c>
      <c r="F4" t="inlineStr">
        <is>
          <t>Childrens</t>
        </is>
      </c>
      <c r="G4" t="inlineStr">
        <is>
          <t>Voluntary non-profit - Private</t>
        </is>
      </c>
      <c r="H4" s="24" t="n">
        <v>5425</v>
      </c>
      <c r="I4" t="inlineStr"/>
      <c r="J4" t="inlineStr"/>
      <c r="K4" s="25" t="n">
        <v>0.2643</v>
      </c>
      <c r="L4" s="24" t="n">
        <v>1464.8</v>
      </c>
      <c r="M4" s="24" t="n">
        <v>112.13169</v>
      </c>
      <c r="N4" s="24" t="n">
        <v>142.89</v>
      </c>
      <c r="O4" t="inlineStr">
        <is>
          <t>hcris_derived_with_state_agency</t>
        </is>
      </c>
      <c r="P4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Stanford Health</t>
        </is>
      </c>
    </row>
    <row r="4">
      <c r="A4" s="6" t="inlineStr">
        <is>
          <t>Scope</t>
        </is>
      </c>
      <c r="B4" s="29" t="inlineStr">
        <is>
          <t>3 hospitals in 1 states (CA)</t>
        </is>
      </c>
    </row>
    <row r="5">
      <c r="A5" s="6" t="inlineStr">
        <is>
          <t>Generated at</t>
        </is>
      </c>
      <c r="B5" s="29" t="inlineStr">
        <is>
          <t>2026-05-28T11:02:17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2026-05-28T18:02:17Z</dcterms:created>
  <dcterms:modified xsi:type="dcterms:W3CDTF">2026-05-28T18:02:17Z</dcterms:modified>
</cp:coreProperties>
</file>