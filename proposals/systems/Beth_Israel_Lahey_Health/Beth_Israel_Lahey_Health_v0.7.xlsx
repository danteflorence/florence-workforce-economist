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Beth Israel Lahey Health</t>
        </is>
      </c>
    </row>
    <row r="2">
      <c r="A2" s="2" t="inlineStr">
        <is>
          <t>Scope: 5 hospitals in 1 states (MA)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1359.2826</v>
      </c>
    </row>
    <row r="6">
      <c r="A6" s="6" t="inlineStr">
        <is>
          <t>②  Employer FICA Savings / RN/mo</t>
        </is>
      </c>
      <c r="B6" s="7" t="n">
        <v>679.6413000000001</v>
      </c>
    </row>
    <row r="7">
      <c r="A7" s="6" t="inlineStr">
        <is>
          <t>③  FICA-Adjusted Effective Cost / RN/mo</t>
        </is>
      </c>
      <c r="B7" s="7" t="n">
        <v>679.6413000000001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6691.487399999998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5</v>
      </c>
    </row>
    <row r="15">
      <c r="A15" s="6" t="inlineStr">
        <is>
          <t>Hospitals quotable</t>
        </is>
      </c>
      <c r="B15" s="11" t="n">
        <v>5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2815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1359.2826</v>
      </c>
    </row>
    <row r="26">
      <c r="A26" s="6" t="inlineStr">
        <is>
          <t>− Employer FICA Offset</t>
        </is>
      </c>
      <c r="B26" s="12" t="n">
        <v>-679.6413000000001</v>
      </c>
    </row>
    <row r="27">
      <c r="A27" s="6">
        <f> FICA-Adjusted Effective Cost</f>
        <v/>
      </c>
      <c r="B27" s="12" t="n">
        <v>679.6413000000001</v>
      </c>
    </row>
    <row r="28">
      <c r="A28" s="6" t="inlineStr">
        <is>
          <t>+ Agency Premium Avoided</t>
        </is>
      </c>
      <c r="B28" s="12" t="n">
        <v>11082.10820925191</v>
      </c>
    </row>
    <row r="29">
      <c r="A29" s="6">
        <f> Net Monthly Savings per RN</f>
        <v/>
      </c>
      <c r="B29" s="13" t="n">
        <v>6691.487399999998</v>
      </c>
    </row>
    <row r="32">
      <c r="A32" s="3" t="inlineStr">
        <is>
          <t>PORTFOLIO TOTALS (5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3826372.236388136</v>
      </c>
    </row>
    <row r="34">
      <c r="A34" s="6" t="inlineStr">
        <is>
          <t>Total monthly FICA offset to hospitals</t>
        </is>
      </c>
      <c r="B34" s="14" t="n">
        <v>1913186.118194068</v>
      </c>
    </row>
    <row r="35">
      <c r="A35" s="6" t="inlineStr">
        <is>
          <t>Total monthly FICA-adjusted effective cost</t>
        </is>
      </c>
      <c r="B35" s="14" t="n">
        <v>1913186.118194068</v>
      </c>
    </row>
    <row r="36">
      <c r="A36" s="6" t="inlineStr">
        <is>
          <t>Total monthly agency premium avoided</t>
        </is>
      </c>
      <c r="B36" s="14" t="n">
        <v>31196134.60904414</v>
      </c>
    </row>
    <row r="37">
      <c r="A37" s="6" t="inlineStr">
        <is>
          <t>Total monthly net hospital savings</t>
        </is>
      </c>
      <c r="B37" s="14" t="n">
        <v>29282948.49085006</v>
      </c>
    </row>
    <row r="38">
      <c r="A38" s="6" t="inlineStr">
        <is>
          <t>Term (24mo) Florence fee</t>
        </is>
      </c>
      <c r="B38" s="14" t="n">
        <v>91832933.67331527</v>
      </c>
    </row>
    <row r="39">
      <c r="A39" s="6" t="inlineStr">
        <is>
          <t>Term (24mo) Hospital net savings</t>
        </is>
      </c>
      <c r="B39" s="14" t="n">
        <v>702790763.7804017</v>
      </c>
    </row>
    <row r="40">
      <c r="A40" s="6" t="inlineStr">
        <is>
          <t>Savings : Fee ratio</t>
        </is>
      </c>
      <c r="B40" s="15" t="n">
        <v>7.652927285112073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135376.8156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135376.8156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8393.3625672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1962.9638262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10356.3263934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863.02719945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220060</t>
        </is>
      </c>
      <c r="B2" t="inlineStr">
        <is>
          <t>BETH ISRAEL DEACONESS HOSPITAL PLYMOUTH</t>
        </is>
      </c>
      <c r="C2" t="inlineStr">
        <is>
          <t>PLYMOUTH</t>
        </is>
      </c>
      <c r="D2" t="inlineStr">
        <is>
          <t>MA</t>
        </is>
      </c>
      <c r="E2" t="inlineStr">
        <is>
          <t>Beth Israel Lahey Health</t>
        </is>
      </c>
      <c r="F2" s="22" t="n">
        <v>82.7</v>
      </c>
      <c r="G2" s="23" t="n">
        <v>76.286675</v>
      </c>
      <c r="H2" s="23" t="n">
        <v>123.5375</v>
      </c>
      <c r="I2" s="23" t="n">
        <v>47.25082499999999</v>
      </c>
      <c r="J2" s="24" t="n">
        <v>1359.2826</v>
      </c>
      <c r="K2" s="24" t="n">
        <v>679.6413000000001</v>
      </c>
      <c r="L2" s="24" t="n">
        <v>679.6413000000001</v>
      </c>
      <c r="M2" s="25" t="n">
        <v>0.5</v>
      </c>
      <c r="N2" s="24" t="n">
        <v>7371.128699999998</v>
      </c>
      <c r="O2" s="24" t="n">
        <v>6691.487399999998</v>
      </c>
      <c r="P2" s="24" t="n">
        <v>112409.171220935</v>
      </c>
      <c r="Q2" s="24" t="n">
        <v>56204.58561046748</v>
      </c>
      <c r="R2" s="24" t="n">
        <v>553368.7791407972</v>
      </c>
      <c r="S2" s="24" t="n">
        <v>2697820.109302439</v>
      </c>
      <c r="T2" s="24" t="n">
        <v>13280850.69937913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  <row r="3">
      <c r="A3" t="inlineStr">
        <is>
          <t>220083</t>
        </is>
      </c>
      <c r="B3" t="inlineStr">
        <is>
          <t>BETH ISRAEL DEACONESS HOSPITAL - NEEDHAM</t>
        </is>
      </c>
      <c r="C3" t="inlineStr">
        <is>
          <t>NEEDHAM</t>
        </is>
      </c>
      <c r="D3" t="inlineStr">
        <is>
          <t>MA</t>
        </is>
      </c>
      <c r="E3" t="inlineStr">
        <is>
          <t>Beth Israel Lahey Health</t>
        </is>
      </c>
      <c r="F3" s="22" t="n">
        <v>147.2</v>
      </c>
      <c r="G3" s="23" t="n">
        <v>75.316675</v>
      </c>
      <c r="H3" s="23" t="n">
        <v>489.6125000000001</v>
      </c>
      <c r="I3" s="23" t="n">
        <v>414.295825</v>
      </c>
      <c r="J3" s="24" t="n">
        <v>1359.2826</v>
      </c>
      <c r="K3" s="24" t="n">
        <v>679.6413000000001</v>
      </c>
      <c r="L3" s="24" t="n">
        <v>679.6413000000001</v>
      </c>
      <c r="M3" s="25" t="n">
        <v>0.5</v>
      </c>
      <c r="N3" s="24" t="n">
        <v>64630.14870000001</v>
      </c>
      <c r="O3" s="24" t="n">
        <v>63950.50740000001</v>
      </c>
      <c r="P3" s="24" t="n">
        <v>200086.39872</v>
      </c>
      <c r="Q3" s="24" t="n">
        <v>100043.19936</v>
      </c>
      <c r="R3" s="24" t="n">
        <v>9413514.689280001</v>
      </c>
      <c r="S3" s="24" t="n">
        <v>4802073.56928</v>
      </c>
      <c r="T3" s="24" t="n">
        <v>225924352.54272</v>
      </c>
      <c r="U3" t="inlineStr">
        <is>
          <t>target</t>
        </is>
      </c>
      <c r="V3" s="22" t="n">
        <v>0.92</v>
      </c>
      <c r="W3" t="inlineStr">
        <is>
          <t>hcris_nmrc_agency_per_hospital</t>
        </is>
      </c>
      <c r="X3" t="b">
        <v>0</v>
      </c>
    </row>
    <row r="4">
      <c r="A4" t="inlineStr">
        <is>
          <t>220086</t>
        </is>
      </c>
      <c r="B4" t="inlineStr">
        <is>
          <t>BETH ISRAEL DEACONESS MEDICAL CENTER</t>
        </is>
      </c>
      <c r="C4" t="inlineStr">
        <is>
          <t>BOSTON</t>
        </is>
      </c>
      <c r="D4" t="inlineStr">
        <is>
          <t>MA</t>
        </is>
      </c>
      <c r="E4" t="inlineStr">
        <is>
          <t>Beth Israel Lahey Health</t>
        </is>
      </c>
      <c r="F4" s="22" t="n">
        <v>2373.5</v>
      </c>
      <c r="G4" s="23" t="n">
        <v>72.316675</v>
      </c>
      <c r="H4" s="23" t="n">
        <v>126.5375</v>
      </c>
      <c r="I4" s="23" t="n">
        <v>54.220825</v>
      </c>
      <c r="J4" s="24" t="n">
        <v>1359.2826</v>
      </c>
      <c r="K4" s="24" t="n">
        <v>679.6413000000001</v>
      </c>
      <c r="L4" s="24" t="n">
        <v>679.6413000000001</v>
      </c>
      <c r="M4" s="25" t="n">
        <v>0.5</v>
      </c>
      <c r="N4" s="24" t="n">
        <v>8458.448700000001</v>
      </c>
      <c r="O4" s="24" t="n">
        <v>7778.8074</v>
      </c>
      <c r="P4" s="24" t="n">
        <v>3226257.2511</v>
      </c>
      <c r="Q4" s="24" t="n">
        <v>1613128.62555</v>
      </c>
      <c r="R4" s="24" t="n">
        <v>18462999.3639</v>
      </c>
      <c r="S4" s="24" t="n">
        <v>77430174.02640001</v>
      </c>
      <c r="T4" s="24" t="n">
        <v>443111984.7336</v>
      </c>
      <c r="U4" t="inlineStr">
        <is>
          <t>target</t>
        </is>
      </c>
      <c r="V4" s="22" t="n">
        <v>0.92</v>
      </c>
      <c r="W4" t="inlineStr">
        <is>
          <t>hcris_nmrc_agency_per_hospital</t>
        </is>
      </c>
      <c r="X4" t="b">
        <v>0</v>
      </c>
    </row>
    <row r="5">
      <c r="A5" t="inlineStr">
        <is>
          <t>220108</t>
        </is>
      </c>
      <c r="B5" t="inlineStr">
        <is>
          <t>BETH ISRAEL DEACONESS HOSPITAL - MILTON</t>
        </is>
      </c>
      <c r="C5" t="inlineStr">
        <is>
          <t>MILTON</t>
        </is>
      </c>
      <c r="D5" t="inlineStr">
        <is>
          <t>MA</t>
        </is>
      </c>
      <c r="E5" t="inlineStr">
        <is>
          <t>Beth Israel Lahey Health</t>
        </is>
      </c>
      <c r="F5" s="22" t="n">
        <v>89</v>
      </c>
      <c r="G5" s="23" t="n">
        <v>70.536675</v>
      </c>
      <c r="H5" s="23" t="n">
        <v>79.75</v>
      </c>
      <c r="I5" s="23" t="n">
        <v>9.213324999999998</v>
      </c>
      <c r="J5" s="24" t="n">
        <v>1359.2826</v>
      </c>
      <c r="K5" s="24" t="n">
        <v>679.6413000000001</v>
      </c>
      <c r="L5" s="24" t="n">
        <v>679.6413000000001</v>
      </c>
      <c r="M5" s="25" t="n">
        <v>0.5</v>
      </c>
      <c r="N5" s="24" t="n">
        <v>1437.2787</v>
      </c>
      <c r="O5" s="24" t="n">
        <v>757.6373999999994</v>
      </c>
      <c r="P5" s="24" t="n">
        <v>120919.8068909718</v>
      </c>
      <c r="Q5" s="24" t="n">
        <v>60459.90344548591</v>
      </c>
      <c r="R5" s="24" t="n">
        <v>67398.32327830716</v>
      </c>
      <c r="S5" s="24" t="n">
        <v>2902075.365383323</v>
      </c>
      <c r="T5" s="24" t="n">
        <v>1617559.758679372</v>
      </c>
      <c r="U5" t="inlineStr">
        <is>
          <t>target</t>
        </is>
      </c>
      <c r="V5" s="22" t="n">
        <v>0.92</v>
      </c>
      <c r="W5" t="inlineStr">
        <is>
          <t>hcris_nmrc_agency_per_hospital</t>
        </is>
      </c>
      <c r="X5" t="b">
        <v>0</v>
      </c>
    </row>
    <row r="6">
      <c r="A6" t="inlineStr">
        <is>
          <t>220171</t>
        </is>
      </c>
      <c r="B6" t="inlineStr">
        <is>
          <t>LAHEY HOSPITAL &amp; MEDICAL CENTER, BURLINGTON</t>
        </is>
      </c>
      <c r="C6" t="inlineStr">
        <is>
          <t>BURLINGTON</t>
        </is>
      </c>
      <c r="D6" t="inlineStr">
        <is>
          <t>MA</t>
        </is>
      </c>
      <c r="E6" t="inlineStr">
        <is>
          <t>Beth Israel Lahey Health</t>
        </is>
      </c>
      <c r="F6" s="22" t="n">
        <v>122.6</v>
      </c>
      <c r="G6" s="23" t="n">
        <v>71.37667500000001</v>
      </c>
      <c r="H6" s="23" t="n">
        <v>116.8</v>
      </c>
      <c r="I6" s="23" t="n">
        <v>45.42332499999999</v>
      </c>
      <c r="J6" s="24" t="n">
        <v>1359.2826</v>
      </c>
      <c r="K6" s="24" t="n">
        <v>679.6413000000001</v>
      </c>
      <c r="L6" s="24" t="n">
        <v>679.6413000000001</v>
      </c>
      <c r="M6" s="25" t="n">
        <v>0.5</v>
      </c>
      <c r="N6" s="24" t="n">
        <v>7086.038699999998</v>
      </c>
      <c r="O6" s="24" t="n">
        <v>6406.397399999998</v>
      </c>
      <c r="P6" s="24" t="n">
        <v>166699.6084562286</v>
      </c>
      <c r="Q6" s="24" t="n">
        <v>83349.80422811431</v>
      </c>
      <c r="R6" s="24" t="n">
        <v>785667.3352509629</v>
      </c>
      <c r="S6" s="24" t="n">
        <v>4000790.602949487</v>
      </c>
      <c r="T6" s="24" t="n">
        <v>18856016.04602311</v>
      </c>
      <c r="U6" t="inlineStr">
        <is>
          <t>target</t>
        </is>
      </c>
      <c r="V6" s="22" t="n">
        <v>0.92</v>
      </c>
      <c r="W6" t="inlineStr">
        <is>
          <t>hcris_nmrc_agency_per_hospital</t>
        </is>
      </c>
      <c r="X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1132.7355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849.5516250000001</v>
      </c>
      <c r="D5" s="24" t="n">
        <v>1699.10325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1359.2826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1132.7355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906.1884000000001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MA</t>
        </is>
      </c>
      <c r="B4" t="n">
        <v>5</v>
      </c>
      <c r="C4" s="23" t="n">
        <v>72.316675</v>
      </c>
      <c r="D4" s="23" t="n">
        <v>123.5375</v>
      </c>
      <c r="E4" s="23" t="n">
        <v>47.25082499999999</v>
      </c>
      <c r="F4" s="24" t="n">
        <v>1359.2826</v>
      </c>
      <c r="G4" s="24" t="n">
        <v>679.6413000000001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220060</t>
        </is>
      </c>
      <c r="B2" t="inlineStr">
        <is>
          <t>BETH ISRAEL DEACONESS HOSPITAL PLYMOUTH</t>
        </is>
      </c>
      <c r="C2" t="inlineStr">
        <is>
          <t>PLYMOUTH</t>
        </is>
      </c>
      <c r="D2" t="inlineStr">
        <is>
          <t>MA</t>
        </is>
      </c>
      <c r="E2" t="inlineStr">
        <is>
          <t>PLYMOUTH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1402</v>
      </c>
      <c r="I2" s="24" t="n">
        <v>21249765</v>
      </c>
      <c r="J2" s="25" t="n">
        <v>0.1448</v>
      </c>
      <c r="K2" s="25" t="n">
        <v>0.0521</v>
      </c>
      <c r="L2" s="24" t="n">
        <v>82.7</v>
      </c>
      <c r="M2" s="24" t="n">
        <v>76.286675</v>
      </c>
      <c r="N2" s="24" t="n">
        <v>123.5375</v>
      </c>
      <c r="O2" t="inlineStr">
        <is>
          <t>hcris_nmrc_agency_per_hospital</t>
        </is>
      </c>
      <c r="P2" s="26" t="n">
        <v>0.92</v>
      </c>
    </row>
    <row r="3">
      <c r="A3" t="inlineStr">
        <is>
          <t>220083</t>
        </is>
      </c>
      <c r="B3" t="inlineStr">
        <is>
          <t>BETH ISRAEL DEACONESS HOSPITAL - NEEDHAM</t>
        </is>
      </c>
      <c r="C3" t="inlineStr">
        <is>
          <t>NEEDHAM</t>
        </is>
      </c>
      <c r="D3" t="inlineStr">
        <is>
          <t>MA</t>
        </is>
      </c>
      <c r="E3" t="inlineStr">
        <is>
          <t>NORFOLK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545</v>
      </c>
      <c r="I3" t="inlineStr"/>
      <c r="J3" t="inlineStr"/>
      <c r="K3" s="25" t="n">
        <v>0.0885</v>
      </c>
      <c r="L3" s="24" t="n">
        <v>147.2</v>
      </c>
      <c r="M3" s="24" t="n">
        <v>75.316675</v>
      </c>
      <c r="N3" s="24" t="n">
        <v>489.6125000000001</v>
      </c>
      <c r="O3" t="inlineStr">
        <is>
          <t>hcris_nmrc_agency_per_hospital</t>
        </is>
      </c>
      <c r="P3" s="26" t="n">
        <v>0.92</v>
      </c>
    </row>
    <row r="4">
      <c r="A4" t="inlineStr">
        <is>
          <t>220086</t>
        </is>
      </c>
      <c r="B4" t="inlineStr">
        <is>
          <t>BETH ISRAEL DEACONESS MEDICAL CENTER</t>
        </is>
      </c>
      <c r="C4" t="inlineStr">
        <is>
          <t>BOSTON</t>
        </is>
      </c>
      <c r="D4" t="inlineStr">
        <is>
          <t>MA</t>
        </is>
      </c>
      <c r="E4" t="inlineStr">
        <is>
          <t>SUFFOLK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8791</v>
      </c>
      <c r="I4" t="inlineStr"/>
      <c r="J4" t="inlineStr"/>
      <c r="K4" s="25" t="n">
        <v>0.1271</v>
      </c>
      <c r="L4" s="24" t="n">
        <v>2373.5</v>
      </c>
      <c r="M4" s="24" t="n">
        <v>72.316675</v>
      </c>
      <c r="N4" s="24" t="n">
        <v>126.5375</v>
      </c>
      <c r="O4" t="inlineStr">
        <is>
          <t>hcris_nmrc_agency_per_hospital</t>
        </is>
      </c>
      <c r="P4" s="26" t="n">
        <v>0.92</v>
      </c>
    </row>
    <row r="5">
      <c r="A5" t="inlineStr">
        <is>
          <t>220108</t>
        </is>
      </c>
      <c r="B5" t="inlineStr">
        <is>
          <t>BETH ISRAEL DEACONESS HOSPITAL - MILTON</t>
        </is>
      </c>
      <c r="C5" t="inlineStr">
        <is>
          <t>MILTON</t>
        </is>
      </c>
      <c r="D5" t="inlineStr">
        <is>
          <t>MA</t>
        </is>
      </c>
      <c r="E5" t="inlineStr">
        <is>
          <t>NORFOLK</t>
        </is>
      </c>
      <c r="F5" t="inlineStr">
        <is>
          <t>Acute Care Hospitals</t>
        </is>
      </c>
      <c r="G5" t="inlineStr">
        <is>
          <t>Government - Federal</t>
        </is>
      </c>
      <c r="H5" s="24" t="n">
        <v>747</v>
      </c>
      <c r="I5" s="24" t="n">
        <v>14756444</v>
      </c>
      <c r="J5" s="25" t="n">
        <v>0.2165</v>
      </c>
      <c r="K5" s="25" t="n">
        <v>0.1231</v>
      </c>
      <c r="L5" s="24" t="n">
        <v>89</v>
      </c>
      <c r="M5" s="24" t="n">
        <v>70.536675</v>
      </c>
      <c r="N5" s="24" t="n">
        <v>79.75</v>
      </c>
      <c r="O5" t="inlineStr">
        <is>
          <t>hcris_nmrc_agency_per_hospital</t>
        </is>
      </c>
      <c r="P5" s="26" t="n">
        <v>0.92</v>
      </c>
    </row>
    <row r="6">
      <c r="A6" t="inlineStr">
        <is>
          <t>220171</t>
        </is>
      </c>
      <c r="B6" t="inlineStr">
        <is>
          <t>LAHEY HOSPITAL &amp; MEDICAL CENTER, BURLINGTON</t>
        </is>
      </c>
      <c r="C6" t="inlineStr">
        <is>
          <t>BURLINGTON</t>
        </is>
      </c>
      <c r="D6" t="inlineStr">
        <is>
          <t>MA</t>
        </is>
      </c>
      <c r="E6" t="inlineStr">
        <is>
          <t>MIDDLESEX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4754</v>
      </c>
      <c r="I6" s="24" t="n">
        <v>29794150</v>
      </c>
      <c r="J6" s="25" t="n">
        <v>0.0435</v>
      </c>
      <c r="K6" s="25" t="n">
        <v>0.1309</v>
      </c>
      <c r="L6" s="24" t="n">
        <v>122.6</v>
      </c>
      <c r="M6" s="24" t="n">
        <v>71.37667500000001</v>
      </c>
      <c r="N6" s="24" t="n">
        <v>116.8</v>
      </c>
      <c r="O6" t="inlineStr">
        <is>
          <t>hcris_nmrc_agency_per_hospital</t>
        </is>
      </c>
      <c r="P6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Beth Israel Lahey Health</t>
        </is>
      </c>
    </row>
    <row r="4">
      <c r="A4" s="6" t="inlineStr">
        <is>
          <t>Scope</t>
        </is>
      </c>
      <c r="B4" s="29" t="inlineStr">
        <is>
          <t>5 hospitals in 1 states (MA)</t>
        </is>
      </c>
    </row>
    <row r="5">
      <c r="A5" s="6" t="inlineStr">
        <is>
          <t>Generated at</t>
        </is>
      </c>
      <c r="B5" s="29" t="inlineStr">
        <is>
          <t>2026-05-28T11:55:35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2026-05-28T18:55:35Z</dcterms:created>
  <dcterms:modified xsi:type="dcterms:W3CDTF">2026-05-28T18:55:35Z</dcterms:modified>
</cp:coreProperties>
</file>