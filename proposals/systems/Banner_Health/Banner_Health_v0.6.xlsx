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Banner Health</t>
        </is>
      </c>
    </row>
    <row r="2">
      <c r="A2" s="2" t="inlineStr">
        <is>
          <t>Scope: 23 hospitals in 5 states (AZ, CA, CO, NV, WY)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1168.3386</v>
      </c>
    </row>
    <row r="6">
      <c r="A6" s="6" t="inlineStr">
        <is>
          <t>②  Employer FICA Savings / RN/mo</t>
        </is>
      </c>
      <c r="B6" s="7" t="n">
        <v>584.1693</v>
      </c>
    </row>
    <row r="7">
      <c r="A7" s="6" t="inlineStr">
        <is>
          <t>③  FICA-Adjusted Effective Cost / RN/mo</t>
        </is>
      </c>
      <c r="B7" s="7" t="n">
        <v>584.1693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5300.201400000001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23</v>
      </c>
    </row>
    <row r="15">
      <c r="A15" s="6" t="inlineStr">
        <is>
          <t>Hospitals quotable</t>
        </is>
      </c>
      <c r="B15" s="11" t="n">
        <v>22</v>
      </c>
    </row>
    <row r="16">
      <c r="A16" s="6" t="inlineStr">
        <is>
          <t>Hospitals flagged for manual review</t>
        </is>
      </c>
      <c r="B16" s="11" t="n">
        <v>1</v>
      </c>
    </row>
    <row r="17">
      <c r="A17" s="6" t="inlineStr">
        <is>
          <t>Total Covered RN Need (FTE)</t>
        </is>
      </c>
      <c r="B17" s="11" t="n">
        <v>1472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1168.3386</v>
      </c>
    </row>
    <row r="26">
      <c r="A26" s="6" t="inlineStr">
        <is>
          <t>− Employer FICA Offset</t>
        </is>
      </c>
      <c r="B26" s="12" t="n">
        <v>-584.1693</v>
      </c>
    </row>
    <row r="27">
      <c r="A27" s="6">
        <f> FICA-Adjusted Effective Cost</f>
        <v/>
      </c>
      <c r="B27" s="12" t="n">
        <v>584.1693</v>
      </c>
    </row>
    <row r="28">
      <c r="A28" s="6" t="inlineStr">
        <is>
          <t>+ Agency Premium Avoided</t>
        </is>
      </c>
      <c r="B28" s="12" t="n">
        <v>7177.369846057293</v>
      </c>
    </row>
    <row r="29">
      <c r="A29" s="6">
        <f> Net Monthly Savings per RN</f>
        <v/>
      </c>
      <c r="B29" s="13" t="n">
        <v>5300.201400000001</v>
      </c>
    </row>
    <row r="32">
      <c r="A32" s="3" t="inlineStr">
        <is>
          <t>PORTFOLIO TOTALS (22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1748351.18305758</v>
      </c>
    </row>
    <row r="34">
      <c r="A34" s="6" t="inlineStr">
        <is>
          <t>Total monthly FICA offset to hospitals</t>
        </is>
      </c>
      <c r="B34" s="14" t="n">
        <v>874175.5915287898</v>
      </c>
    </row>
    <row r="35">
      <c r="A35" s="6" t="inlineStr">
        <is>
          <t>Total monthly FICA-adjusted effective cost</t>
        </is>
      </c>
      <c r="B35" s="14" t="n">
        <v>874175.5915287898</v>
      </c>
    </row>
    <row r="36">
      <c r="A36" s="6" t="inlineStr">
        <is>
          <t>Total monthly agency premium avoided</t>
        </is>
      </c>
      <c r="B36" s="14" t="n">
        <v>10561499.72847331</v>
      </c>
    </row>
    <row r="37">
      <c r="A37" s="6" t="inlineStr">
        <is>
          <t>Total monthly net hospital savings</t>
        </is>
      </c>
      <c r="B37" s="14" t="n">
        <v>9687324.136944519</v>
      </c>
    </row>
    <row r="38">
      <c r="A38" s="6" t="inlineStr">
        <is>
          <t>Term (24mo) Florence fee</t>
        </is>
      </c>
      <c r="B38" s="14" t="n">
        <v>41960428.39338192</v>
      </c>
    </row>
    <row r="39">
      <c r="A39" s="6" t="inlineStr">
        <is>
          <t>Term (24mo) Hospital net savings</t>
        </is>
      </c>
      <c r="B39" s="14" t="n">
        <v>232495779.2866685</v>
      </c>
    </row>
    <row r="40">
      <c r="A40" s="6" t="inlineStr">
        <is>
          <t>Savings : Fee ratio</t>
        </is>
      </c>
      <c r="B40" s="15" t="n">
        <v>5.540834261914689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118422.1116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118422.1116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7342.1709192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1717.1206182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9059.2915374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754.94096145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030002</t>
        </is>
      </c>
      <c r="B2" t="inlineStr">
        <is>
          <t>BANNER - UNIVERSITY MEDICAL CENTER PHOENIX</t>
        </is>
      </c>
      <c r="C2" t="inlineStr">
        <is>
          <t>PHOENIX</t>
        </is>
      </c>
      <c r="D2" t="inlineStr">
        <is>
          <t>AZ</t>
        </is>
      </c>
      <c r="E2" t="inlineStr">
        <is>
          <t>Banner Health</t>
        </is>
      </c>
      <c r="F2" s="22" t="n">
        <v>5.4</v>
      </c>
      <c r="G2" s="23" t="n">
        <v>61.474675</v>
      </c>
      <c r="H2" s="23" t="n">
        <v>99.40000000000001</v>
      </c>
      <c r="I2" s="23" t="n">
        <v>37.925325</v>
      </c>
      <c r="J2" s="24" t="n">
        <v>1168.3386</v>
      </c>
      <c r="K2" s="24" t="n">
        <v>584.1693</v>
      </c>
      <c r="L2" s="24" t="n">
        <v>584.1693</v>
      </c>
      <c r="M2" s="25" t="n">
        <v>0.5</v>
      </c>
      <c r="N2" s="24" t="n">
        <v>5916.3507</v>
      </c>
      <c r="O2" s="24" t="n">
        <v>5332.1814</v>
      </c>
      <c r="P2" s="24" t="n">
        <v>6250.620551468813</v>
      </c>
      <c r="Q2" s="24" t="n">
        <v>3125.310275734406</v>
      </c>
      <c r="R2" s="24" t="n">
        <v>28527.2117543662</v>
      </c>
      <c r="S2" s="24" t="n">
        <v>150014.8932352515</v>
      </c>
      <c r="T2" s="24" t="n">
        <v>684653.0821047887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030016</t>
        </is>
      </c>
      <c r="B3" t="inlineStr">
        <is>
          <t>BANNER CASA GRANDE MEDICAL CENTER</t>
        </is>
      </c>
      <c r="C3" t="inlineStr">
        <is>
          <t>CASA GRANDE</t>
        </is>
      </c>
      <c r="D3" t="inlineStr">
        <is>
          <t>AZ</t>
        </is>
      </c>
      <c r="E3" t="inlineStr">
        <is>
          <t>Banner Health</t>
        </is>
      </c>
      <c r="F3" s="22" t="n">
        <v>43</v>
      </c>
      <c r="G3" s="23" t="n">
        <v>63.224675</v>
      </c>
      <c r="H3" s="23" t="n">
        <v>93.98</v>
      </c>
      <c r="I3" s="23" t="n">
        <v>30.755325</v>
      </c>
      <c r="J3" s="24" t="n">
        <v>1168.3386</v>
      </c>
      <c r="K3" s="24" t="n">
        <v>584.1693</v>
      </c>
      <c r="L3" s="24" t="n">
        <v>584.1693</v>
      </c>
      <c r="M3" s="25" t="n">
        <v>0.5</v>
      </c>
      <c r="N3" s="24" t="n">
        <v>4797.8307</v>
      </c>
      <c r="O3" s="24" t="n">
        <v>4213.6614</v>
      </c>
      <c r="P3" s="24" t="n">
        <v>50183.05668776335</v>
      </c>
      <c r="Q3" s="24" t="n">
        <v>25091.52834388168</v>
      </c>
      <c r="R3" s="24" t="n">
        <v>180987.2659340711</v>
      </c>
      <c r="S3" s="24" t="n">
        <v>1204393.360506321</v>
      </c>
      <c r="T3" s="24" t="n">
        <v>4343694.382417706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030061</t>
        </is>
      </c>
      <c r="B4" t="inlineStr">
        <is>
          <t>BANNER BOSWELL MEDICAL CENTER</t>
        </is>
      </c>
      <c r="C4" t="inlineStr">
        <is>
          <t>SUN CITY</t>
        </is>
      </c>
      <c r="D4" t="inlineStr">
        <is>
          <t>AZ</t>
        </is>
      </c>
      <c r="E4" t="inlineStr">
        <is>
          <t>Banner Health</t>
        </is>
      </c>
      <c r="F4" s="22" t="n">
        <v>132.8</v>
      </c>
      <c r="G4" s="23" t="n">
        <v>63.054675</v>
      </c>
      <c r="H4" s="23" t="n">
        <v>101.11</v>
      </c>
      <c r="I4" s="23" t="n">
        <v>38.055325</v>
      </c>
      <c r="J4" s="24" t="n">
        <v>1168.3386</v>
      </c>
      <c r="K4" s="24" t="n">
        <v>584.1693</v>
      </c>
      <c r="L4" s="24" t="n">
        <v>584.1693</v>
      </c>
      <c r="M4" s="25" t="n">
        <v>0.5</v>
      </c>
      <c r="N4" s="24" t="n">
        <v>5936.6307</v>
      </c>
      <c r="O4" s="24" t="n">
        <v>5352.461399999999</v>
      </c>
      <c r="P4" s="24" t="n">
        <v>155213.702568559</v>
      </c>
      <c r="Q4" s="24" t="n">
        <v>77606.8512842795</v>
      </c>
      <c r="R4" s="24" t="n">
        <v>711074.1284669469</v>
      </c>
      <c r="S4" s="24" t="n">
        <v>3725128.861645416</v>
      </c>
      <c r="T4" s="24" t="n">
        <v>17065779.08320672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030064</t>
        </is>
      </c>
      <c r="B5" t="inlineStr">
        <is>
          <t>BANNER - UNIVERSITY MEDICAL CENTER TUCSON CAMPUS</t>
        </is>
      </c>
      <c r="C5" t="inlineStr">
        <is>
          <t>TUCSON</t>
        </is>
      </c>
      <c r="D5" t="inlineStr">
        <is>
          <t>AZ</t>
        </is>
      </c>
      <c r="E5" t="inlineStr">
        <is>
          <t>Banner Health</t>
        </is>
      </c>
      <c r="F5" s="22" t="n">
        <v>284.3</v>
      </c>
      <c r="G5" s="23" t="n">
        <v>59.18195</v>
      </c>
      <c r="H5" s="23" t="n">
        <v>135.45</v>
      </c>
      <c r="I5" s="23" t="n">
        <v>76.26804999999999</v>
      </c>
      <c r="J5" s="24" t="n">
        <v>1105.0884</v>
      </c>
      <c r="K5" s="24" t="n">
        <v>552.5441999999999</v>
      </c>
      <c r="L5" s="24" t="n">
        <v>552.5441999999999</v>
      </c>
      <c r="M5" s="25" t="n">
        <v>0.5</v>
      </c>
      <c r="N5" s="24" t="n">
        <v>11897.8158</v>
      </c>
      <c r="O5" s="24" t="n">
        <v>11345.2716</v>
      </c>
      <c r="P5" s="24" t="n">
        <v>314215.6461304983</v>
      </c>
      <c r="Q5" s="24" t="n">
        <v>157107.8230652492</v>
      </c>
      <c r="R5" s="24" t="n">
        <v>3225861.249036722</v>
      </c>
      <c r="S5" s="24" t="n">
        <v>7541175.507131961</v>
      </c>
      <c r="T5" s="24" t="n">
        <v>77420669.97688133</v>
      </c>
      <c r="U5" t="inlineStr">
        <is>
          <t>target</t>
        </is>
      </c>
      <c r="V5" s="22" t="n">
        <v>0.92</v>
      </c>
      <c r="W5" t="inlineStr">
        <is>
          <t>hcris_nmrc_agency_per_hospital</t>
        </is>
      </c>
      <c r="X5" t="b">
        <v>0</v>
      </c>
    </row>
    <row r="6">
      <c r="A6" t="inlineStr">
        <is>
          <t>030065</t>
        </is>
      </c>
      <c r="B6" t="inlineStr">
        <is>
          <t>BANNER DESERT MEDICAL CENTER</t>
        </is>
      </c>
      <c r="C6" t="inlineStr">
        <is>
          <t>MESA</t>
        </is>
      </c>
      <c r="D6" t="inlineStr">
        <is>
          <t>AZ</t>
        </is>
      </c>
      <c r="E6" t="inlineStr">
        <is>
          <t>Banner Health</t>
        </is>
      </c>
      <c r="F6" s="22" t="n">
        <v>217.6</v>
      </c>
      <c r="G6" s="23" t="n">
        <v>62.57467500000001</v>
      </c>
      <c r="H6" s="23" t="n">
        <v>100.9</v>
      </c>
      <c r="I6" s="23" t="n">
        <v>38.325325</v>
      </c>
      <c r="J6" s="24" t="n">
        <v>1168.3386</v>
      </c>
      <c r="K6" s="24" t="n">
        <v>584.1693</v>
      </c>
      <c r="L6" s="24" t="n">
        <v>584.1693</v>
      </c>
      <c r="M6" s="25" t="n">
        <v>0.5</v>
      </c>
      <c r="N6" s="24" t="n">
        <v>5978.7507</v>
      </c>
      <c r="O6" s="24" t="n">
        <v>5394.5814</v>
      </c>
      <c r="P6" s="24" t="n">
        <v>254249.7497767195</v>
      </c>
      <c r="Q6" s="24" t="n">
        <v>127124.8748883598</v>
      </c>
      <c r="R6" s="24" t="n">
        <v>1173949.890126155</v>
      </c>
      <c r="S6" s="24" t="n">
        <v>6101993.994641268</v>
      </c>
      <c r="T6" s="24" t="n">
        <v>28174797.36302771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  <row r="7">
      <c r="A7" t="inlineStr">
        <is>
          <t>030088</t>
        </is>
      </c>
      <c r="B7" t="inlineStr">
        <is>
          <t>BANNER BAYWOOD MEDICAL CENTER</t>
        </is>
      </c>
      <c r="C7" t="inlineStr">
        <is>
          <t>MESA</t>
        </is>
      </c>
      <c r="D7" t="inlineStr">
        <is>
          <t>AZ</t>
        </is>
      </c>
      <c r="E7" t="inlineStr">
        <is>
          <t>Banner Health</t>
        </is>
      </c>
      <c r="F7" s="22" t="n">
        <v>68.59999999999999</v>
      </c>
      <c r="G7" s="23" t="n">
        <v>63.974675</v>
      </c>
      <c r="H7" s="23" t="n">
        <v>98.83</v>
      </c>
      <c r="I7" s="23" t="n">
        <v>34.85532499999999</v>
      </c>
      <c r="J7" s="24" t="n">
        <v>1168.3386</v>
      </c>
      <c r="K7" s="24" t="n">
        <v>584.1693</v>
      </c>
      <c r="L7" s="24" t="n">
        <v>584.1693</v>
      </c>
      <c r="M7" s="25" t="n">
        <v>0.5</v>
      </c>
      <c r="N7" s="24" t="n">
        <v>5437.430699999999</v>
      </c>
      <c r="O7" s="24" t="n">
        <v>4853.261399999999</v>
      </c>
      <c r="P7" s="24" t="n">
        <v>80189.55031681676</v>
      </c>
      <c r="Q7" s="24" t="n">
        <v>40094.77515840838</v>
      </c>
      <c r="R7" s="24" t="n">
        <v>333106.2153009105</v>
      </c>
      <c r="S7" s="24" t="n">
        <v>1924549.207603602</v>
      </c>
      <c r="T7" s="24" t="n">
        <v>7994549.167221853</v>
      </c>
      <c r="U7" t="inlineStr">
        <is>
          <t>target</t>
        </is>
      </c>
      <c r="V7" s="22" t="n">
        <v>0.92</v>
      </c>
      <c r="W7" t="inlineStr">
        <is>
          <t>hcris_nmrc_agency_per_hospital</t>
        </is>
      </c>
      <c r="X7" t="b">
        <v>0</v>
      </c>
    </row>
    <row r="8">
      <c r="A8" t="inlineStr">
        <is>
          <t>030089</t>
        </is>
      </c>
      <c r="B8" t="inlineStr">
        <is>
          <t>BANNER THUNDERBIRD MEDICAL CENTER</t>
        </is>
      </c>
      <c r="C8" t="inlineStr">
        <is>
          <t>GLENDALE</t>
        </is>
      </c>
      <c r="D8" t="inlineStr">
        <is>
          <t>AZ</t>
        </is>
      </c>
      <c r="E8" t="inlineStr">
        <is>
          <t>Banner Health</t>
        </is>
      </c>
      <c r="F8" s="22" t="n">
        <v>134.6</v>
      </c>
      <c r="G8" s="23" t="n">
        <v>62.734675</v>
      </c>
      <c r="H8" s="23" t="n">
        <v>98.89</v>
      </c>
      <c r="I8" s="23" t="n">
        <v>36.155325</v>
      </c>
      <c r="J8" s="24" t="n">
        <v>1168.3386</v>
      </c>
      <c r="K8" s="24" t="n">
        <v>584.1693</v>
      </c>
      <c r="L8" s="24" t="n">
        <v>584.1693</v>
      </c>
      <c r="M8" s="25" t="n">
        <v>0.5</v>
      </c>
      <c r="N8" s="24" t="n">
        <v>5640.2307</v>
      </c>
      <c r="O8" s="24" t="n">
        <v>5056.0614</v>
      </c>
      <c r="P8" s="24" t="n">
        <v>157234.7628640712</v>
      </c>
      <c r="Q8" s="24" t="n">
        <v>78617.3814320356</v>
      </c>
      <c r="R8" s="24" t="n">
        <v>680443.6789601779</v>
      </c>
      <c r="S8" s="24" t="n">
        <v>3773634.308737709</v>
      </c>
      <c r="T8" s="24" t="n">
        <v>16330648.29504427</v>
      </c>
      <c r="U8" t="inlineStr">
        <is>
          <t>target</t>
        </is>
      </c>
      <c r="V8" s="22" t="n">
        <v>0.92</v>
      </c>
      <c r="W8" t="inlineStr">
        <is>
          <t>hcris_nmrc_agency_per_hospital</t>
        </is>
      </c>
      <c r="X8" t="b">
        <v>0</v>
      </c>
    </row>
    <row r="9">
      <c r="A9" t="inlineStr">
        <is>
          <t>030093</t>
        </is>
      </c>
      <c r="B9" t="inlineStr">
        <is>
          <t>BANNER DEL E. WEBB MEDICAL CENTER</t>
        </is>
      </c>
      <c r="C9" t="inlineStr">
        <is>
          <t>SUN CITY WEST</t>
        </is>
      </c>
      <c r="D9" t="inlineStr">
        <is>
          <t>AZ</t>
        </is>
      </c>
      <c r="E9" t="inlineStr">
        <is>
          <t>Banner Health</t>
        </is>
      </c>
      <c r="F9" s="22" t="n">
        <v>75.40000000000001</v>
      </c>
      <c r="G9" s="23" t="n">
        <v>62.79467500000001</v>
      </c>
      <c r="H9" s="23" t="n">
        <v>96.09999999999999</v>
      </c>
      <c r="I9" s="23" t="n">
        <v>33.30532499999999</v>
      </c>
      <c r="J9" s="24" t="n">
        <v>1168.3386</v>
      </c>
      <c r="K9" s="24" t="n">
        <v>584.1693</v>
      </c>
      <c r="L9" s="24" t="n">
        <v>584.1693</v>
      </c>
      <c r="M9" s="25" t="n">
        <v>0.5</v>
      </c>
      <c r="N9" s="24" t="n">
        <v>5195.630699999998</v>
      </c>
      <c r="O9" s="24" t="n">
        <v>4611.461399999997</v>
      </c>
      <c r="P9" s="24" t="n">
        <v>88105.97747135277</v>
      </c>
      <c r="Q9" s="24" t="n">
        <v>44052.98873567639</v>
      </c>
      <c r="R9" s="24" t="n">
        <v>347756.4759209467</v>
      </c>
      <c r="S9" s="24" t="n">
        <v>2114543.459312466</v>
      </c>
      <c r="T9" s="24" t="n">
        <v>8346155.422102723</v>
      </c>
      <c r="U9" t="inlineStr">
        <is>
          <t>target</t>
        </is>
      </c>
      <c r="V9" s="22" t="n">
        <v>0.92</v>
      </c>
      <c r="W9" t="inlineStr">
        <is>
          <t>hcris_nmrc_agency_per_hospital</t>
        </is>
      </c>
      <c r="X9" t="b">
        <v>0</v>
      </c>
    </row>
    <row r="10">
      <c r="A10" t="inlineStr">
        <is>
          <t>030105</t>
        </is>
      </c>
      <c r="B10" t="inlineStr">
        <is>
          <t>BANNER HEART HOSPITAL</t>
        </is>
      </c>
      <c r="C10" t="inlineStr">
        <is>
          <t>MESA</t>
        </is>
      </c>
      <c r="D10" t="inlineStr">
        <is>
          <t>AZ</t>
        </is>
      </c>
      <c r="E10" t="inlineStr">
        <is>
          <t>Banner Health</t>
        </is>
      </c>
      <c r="F10" s="22" t="n">
        <v>12</v>
      </c>
      <c r="G10" s="23" t="n">
        <v>63.054675</v>
      </c>
      <c r="H10" s="23" t="n">
        <v>108.61</v>
      </c>
      <c r="I10" s="23" t="n">
        <v>45.555325</v>
      </c>
      <c r="J10" s="24" t="n">
        <v>1168.3386</v>
      </c>
      <c r="K10" s="24" t="n">
        <v>584.1693</v>
      </c>
      <c r="L10" s="24" t="n">
        <v>584.1693</v>
      </c>
      <c r="M10" s="25" t="n">
        <v>0.5</v>
      </c>
      <c r="N10" s="24" t="n">
        <v>7106.6307</v>
      </c>
      <c r="O10" s="24" t="n">
        <v>6522.461399999999</v>
      </c>
      <c r="P10" s="24" t="n">
        <v>14066.37704802505</v>
      </c>
      <c r="Q10" s="24" t="n">
        <v>7033.188524012523</v>
      </c>
      <c r="R10" s="24" t="n">
        <v>78528.09222736396</v>
      </c>
      <c r="S10" s="24" t="n">
        <v>337593.0491526011</v>
      </c>
      <c r="T10" s="24" t="n">
        <v>1884674.213456735</v>
      </c>
      <c r="U10" t="inlineStr">
        <is>
          <t>target</t>
        </is>
      </c>
      <c r="V10" s="22" t="n">
        <v>0.92</v>
      </c>
      <c r="W10" t="inlineStr">
        <is>
          <t>hcris_nmrc_agency_per_hospital</t>
        </is>
      </c>
      <c r="X10" t="b">
        <v>0</v>
      </c>
    </row>
    <row r="11">
      <c r="A11" t="inlineStr">
        <is>
          <t>030111</t>
        </is>
      </c>
      <c r="B11" t="inlineStr">
        <is>
          <t>BANNER-UNIVERSITY MEDICAL CENTER SOUTH CAMPUS</t>
        </is>
      </c>
      <c r="C11" t="inlineStr">
        <is>
          <t>TUCSON</t>
        </is>
      </c>
      <c r="D11" t="inlineStr">
        <is>
          <t>AZ</t>
        </is>
      </c>
      <c r="E11" t="inlineStr">
        <is>
          <t>Banner Health</t>
        </is>
      </c>
      <c r="F11" s="22" t="n">
        <v>142.8</v>
      </c>
      <c r="G11" s="23" t="n">
        <v>59.16195</v>
      </c>
      <c r="H11" s="23" t="n">
        <v>59.16195</v>
      </c>
      <c r="I11" s="23" t="n">
        <v>0</v>
      </c>
      <c r="J11" s="24" t="n">
        <v>0</v>
      </c>
      <c r="K11" s="24" t="n">
        <v>552.5441999999999</v>
      </c>
      <c r="L11" s="24" t="n">
        <v>-552.5441999999999</v>
      </c>
      <c r="M11" s="25" t="n">
        <v>0</v>
      </c>
      <c r="N11" s="24" t="n">
        <v>0</v>
      </c>
      <c r="O11" s="24" t="n">
        <v>552.5441999999999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t="inlineStr">
        <is>
          <t>manual_review</t>
        </is>
      </c>
      <c r="V11" s="22" t="n">
        <v>0.92</v>
      </c>
      <c r="W11" t="inlineStr">
        <is>
          <t>hcris_nmrc_agency_per_hospital</t>
        </is>
      </c>
      <c r="X11" t="b">
        <v>1</v>
      </c>
    </row>
    <row r="12">
      <c r="A12" t="inlineStr">
        <is>
          <t>030115</t>
        </is>
      </c>
      <c r="B12" t="inlineStr">
        <is>
          <t>BANNER ESTRELLA MEDICAL CENTER</t>
        </is>
      </c>
      <c r="C12" t="inlineStr">
        <is>
          <t>PHOENIX</t>
        </is>
      </c>
      <c r="D12" t="inlineStr">
        <is>
          <t>AZ</t>
        </is>
      </c>
      <c r="E12" t="inlineStr">
        <is>
          <t>Banner Health</t>
        </is>
      </c>
      <c r="F12" s="22" t="n">
        <v>97</v>
      </c>
      <c r="G12" s="23" t="n">
        <v>62.814675</v>
      </c>
      <c r="H12" s="23" t="n">
        <v>102.64</v>
      </c>
      <c r="I12" s="23" t="n">
        <v>39.825325</v>
      </c>
      <c r="J12" s="24" t="n">
        <v>1168.3386</v>
      </c>
      <c r="K12" s="24" t="n">
        <v>584.1693</v>
      </c>
      <c r="L12" s="24" t="n">
        <v>584.1693</v>
      </c>
      <c r="M12" s="25" t="n">
        <v>0.5</v>
      </c>
      <c r="N12" s="24" t="n">
        <v>6212.7507</v>
      </c>
      <c r="O12" s="24" t="n">
        <v>5628.5814</v>
      </c>
      <c r="P12" s="24" t="n">
        <v>113351.1064825897</v>
      </c>
      <c r="Q12" s="24" t="n">
        <v>56675.55324129483</v>
      </c>
      <c r="R12" s="24" t="n">
        <v>546079.6464460933</v>
      </c>
      <c r="S12" s="24" t="n">
        <v>2720426.555582152</v>
      </c>
      <c r="T12" s="24" t="n">
        <v>13105911.51470624</v>
      </c>
      <c r="U12" t="inlineStr">
        <is>
          <t>target</t>
        </is>
      </c>
      <c r="V12" s="22" t="n">
        <v>0.92</v>
      </c>
      <c r="W12" t="inlineStr">
        <is>
          <t>hcris_nmrc_agency_per_hospital</t>
        </is>
      </c>
      <c r="X12" t="b">
        <v>0</v>
      </c>
    </row>
    <row r="13">
      <c r="A13" t="inlineStr">
        <is>
          <t>030122</t>
        </is>
      </c>
      <c r="B13" t="inlineStr">
        <is>
          <t>BANNER GATEWAY MEDICAL CENTER</t>
        </is>
      </c>
      <c r="C13" t="inlineStr">
        <is>
          <t>GILBERT</t>
        </is>
      </c>
      <c r="D13" t="inlineStr">
        <is>
          <t>AZ</t>
        </is>
      </c>
      <c r="E13" t="inlineStr">
        <is>
          <t>Banner Health</t>
        </is>
      </c>
      <c r="F13" s="22" t="n">
        <v>86.3</v>
      </c>
      <c r="G13" s="23" t="n">
        <v>62.814675</v>
      </c>
      <c r="H13" s="23" t="n">
        <v>99.65000000000001</v>
      </c>
      <c r="I13" s="23" t="n">
        <v>36.835325</v>
      </c>
      <c r="J13" s="24" t="n">
        <v>1168.3386</v>
      </c>
      <c r="K13" s="24" t="n">
        <v>584.1693</v>
      </c>
      <c r="L13" s="24" t="n">
        <v>584.1693</v>
      </c>
      <c r="M13" s="25" t="n">
        <v>0.5</v>
      </c>
      <c r="N13" s="24" t="n">
        <v>5746.310700000001</v>
      </c>
      <c r="O13" s="24" t="n">
        <v>5162.141400000001</v>
      </c>
      <c r="P13" s="24" t="n">
        <v>100824.1850226292</v>
      </c>
      <c r="Q13" s="24" t="n">
        <v>50412.0925113146</v>
      </c>
      <c r="R13" s="24" t="n">
        <v>445477.6206371802</v>
      </c>
      <c r="S13" s="24" t="n">
        <v>2419780.440543101</v>
      </c>
      <c r="T13" s="24" t="n">
        <v>10691462.89529233</v>
      </c>
      <c r="U13" t="inlineStr">
        <is>
          <t>target</t>
        </is>
      </c>
      <c r="V13" s="22" t="n">
        <v>0.92</v>
      </c>
      <c r="W13" t="inlineStr">
        <is>
          <t>hcris_nmrc_agency_per_hospital</t>
        </is>
      </c>
      <c r="X13" t="b">
        <v>0</v>
      </c>
    </row>
    <row r="14">
      <c r="A14" t="inlineStr">
        <is>
          <t>030130</t>
        </is>
      </c>
      <c r="B14" t="inlineStr">
        <is>
          <t>BANNER IRONWOOD MEDICAL CENTER</t>
        </is>
      </c>
      <c r="C14" t="inlineStr">
        <is>
          <t>QUEEN CREEK</t>
        </is>
      </c>
      <c r="D14" t="inlineStr">
        <is>
          <t>AZ</t>
        </is>
      </c>
      <c r="E14" t="inlineStr">
        <is>
          <t>Banner Health</t>
        </is>
      </c>
      <c r="F14" s="22" t="n">
        <v>5.2</v>
      </c>
      <c r="G14" s="23" t="n">
        <v>63.29467500000001</v>
      </c>
      <c r="H14" s="23" t="n">
        <v>102.97</v>
      </c>
      <c r="I14" s="23" t="n">
        <v>39.67532499999999</v>
      </c>
      <c r="J14" s="24" t="n">
        <v>1168.3386</v>
      </c>
      <c r="K14" s="24" t="n">
        <v>584.1693</v>
      </c>
      <c r="L14" s="24" t="n">
        <v>584.1693</v>
      </c>
      <c r="M14" s="25" t="n">
        <v>0.5</v>
      </c>
      <c r="N14" s="24" t="n">
        <v>6189.350699999999</v>
      </c>
      <c r="O14" s="24" t="n">
        <v>5605.181399999999</v>
      </c>
      <c r="P14" s="24" t="n">
        <v>6049.620106982617</v>
      </c>
      <c r="Q14" s="24" t="n">
        <v>3024.810053491308</v>
      </c>
      <c r="R14" s="24" t="n">
        <v>29023.45099333786</v>
      </c>
      <c r="S14" s="24" t="n">
        <v>145190.8825675828</v>
      </c>
      <c r="T14" s="24" t="n">
        <v>696562.8238401087</v>
      </c>
      <c r="U14" t="inlineStr">
        <is>
          <t>target</t>
        </is>
      </c>
      <c r="V14" s="22" t="n">
        <v>0.92</v>
      </c>
      <c r="W14" t="inlineStr">
        <is>
          <t>hcris_nmrc_agency_per_hospital</t>
        </is>
      </c>
      <c r="X14" t="b">
        <v>0</v>
      </c>
    </row>
    <row r="15">
      <c r="A15" t="inlineStr">
        <is>
          <t>030134</t>
        </is>
      </c>
      <c r="B15" t="inlineStr">
        <is>
          <t>BANNER GOLDFIELD MEDICAL CENTER</t>
        </is>
      </c>
      <c r="C15" t="inlineStr">
        <is>
          <t>APACHE JUNCTION</t>
        </is>
      </c>
      <c r="D15" t="inlineStr">
        <is>
          <t>AZ</t>
        </is>
      </c>
      <c r="E15" t="inlineStr">
        <is>
          <t>Banner Health</t>
        </is>
      </c>
      <c r="F15" s="22" t="n">
        <v>2</v>
      </c>
      <c r="G15" s="23" t="n">
        <v>63.42467500000001</v>
      </c>
      <c r="H15" s="23" t="n">
        <v>100.49</v>
      </c>
      <c r="I15" s="23" t="n">
        <v>37.06532499999999</v>
      </c>
      <c r="J15" s="24" t="n">
        <v>1168.3386</v>
      </c>
      <c r="K15" s="24" t="n">
        <v>584.1693</v>
      </c>
      <c r="L15" s="24" t="n">
        <v>584.1693</v>
      </c>
      <c r="M15" s="25" t="n">
        <v>0.5</v>
      </c>
      <c r="N15" s="24" t="n">
        <v>5782.190699999998</v>
      </c>
      <c r="O15" s="24" t="n">
        <v>5198.021399999999</v>
      </c>
      <c r="P15" s="24" t="n">
        <v>2293.869628570007</v>
      </c>
      <c r="Q15" s="24" t="n">
        <v>1146.934814285004</v>
      </c>
      <c r="R15" s="24" t="n">
        <v>10205.58887476366</v>
      </c>
      <c r="S15" s="24" t="n">
        <v>55052.87108568017</v>
      </c>
      <c r="T15" s="24" t="n">
        <v>244934.1329943278</v>
      </c>
      <c r="U15" t="inlineStr">
        <is>
          <t>target</t>
        </is>
      </c>
      <c r="V15" s="22" t="n">
        <v>0.92</v>
      </c>
      <c r="W15" t="inlineStr">
        <is>
          <t>hcris_nmrc_agency_per_hospital</t>
        </is>
      </c>
      <c r="X15" t="b">
        <v>0</v>
      </c>
    </row>
    <row r="16">
      <c r="A16" t="inlineStr">
        <is>
          <t>030147</t>
        </is>
      </c>
      <c r="B16" t="inlineStr">
        <is>
          <t>BANNER OCOTILLO MEDICAL CENTER</t>
        </is>
      </c>
      <c r="C16" t="inlineStr">
        <is>
          <t>CHANDLER</t>
        </is>
      </c>
      <c r="D16" t="inlineStr">
        <is>
          <t>AZ</t>
        </is>
      </c>
      <c r="E16" t="inlineStr">
        <is>
          <t>Banner Health</t>
        </is>
      </c>
      <c r="F16" s="22" t="n">
        <v>13.3</v>
      </c>
      <c r="G16" s="23" t="n">
        <v>63.024675</v>
      </c>
      <c r="H16" s="23" t="n">
        <v>100.54</v>
      </c>
      <c r="I16" s="23" t="n">
        <v>37.515325</v>
      </c>
      <c r="J16" s="24" t="n">
        <v>1168.3386</v>
      </c>
      <c r="K16" s="24" t="n">
        <v>584.1693</v>
      </c>
      <c r="L16" s="24" t="n">
        <v>584.1693</v>
      </c>
      <c r="M16" s="25" t="n">
        <v>0.5</v>
      </c>
      <c r="N16" s="24" t="n">
        <v>5852.390700000001</v>
      </c>
      <c r="O16" s="24" t="n">
        <v>5268.221400000001</v>
      </c>
      <c r="P16" s="24" t="n">
        <v>15548.19899376368</v>
      </c>
      <c r="Q16" s="24" t="n">
        <v>7774.099496881839</v>
      </c>
      <c r="R16" s="24" t="n">
        <v>70109.25999569328</v>
      </c>
      <c r="S16" s="24" t="n">
        <v>373156.7758503283</v>
      </c>
      <c r="T16" s="24" t="n">
        <v>1682622.239896639</v>
      </c>
      <c r="U16" t="inlineStr">
        <is>
          <t>target</t>
        </is>
      </c>
      <c r="V16" s="22" t="n">
        <v>0.92</v>
      </c>
      <c r="W16" t="inlineStr">
        <is>
          <t>hcris_nmrc_agency_per_hospital</t>
        </is>
      </c>
      <c r="X16" t="b">
        <v>0</v>
      </c>
    </row>
    <row r="17">
      <c r="A17" t="inlineStr">
        <is>
          <t>031318</t>
        </is>
      </c>
      <c r="B17" t="inlineStr">
        <is>
          <t>BANNER PAYSON MEDICAL CENTER</t>
        </is>
      </c>
      <c r="C17" t="inlineStr">
        <is>
          <t>PAYSON</t>
        </is>
      </c>
      <c r="D17" t="inlineStr">
        <is>
          <t>AZ</t>
        </is>
      </c>
      <c r="E17" t="inlineStr">
        <is>
          <t>Banner Health</t>
        </is>
      </c>
      <c r="F17" s="22" t="n">
        <v>3.9</v>
      </c>
      <c r="G17" s="23" t="n">
        <v>64.9708</v>
      </c>
      <c r="H17" s="23" t="n">
        <v>130.47</v>
      </c>
      <c r="I17" s="23" t="n">
        <v>65.4992</v>
      </c>
      <c r="J17" s="24" t="n">
        <v>1126.5696</v>
      </c>
      <c r="K17" s="24" t="n">
        <v>563.2848</v>
      </c>
      <c r="L17" s="24" t="n">
        <v>563.2848</v>
      </c>
      <c r="M17" s="25" t="n">
        <v>0.5</v>
      </c>
      <c r="N17" s="24" t="n">
        <v>10217.8752</v>
      </c>
      <c r="O17" s="24" t="n">
        <v>9654.590399999999</v>
      </c>
      <c r="P17" s="24" t="n">
        <v>4449.15320266728</v>
      </c>
      <c r="Q17" s="24" t="n">
        <v>2224.57660133364</v>
      </c>
      <c r="R17" s="24" t="n">
        <v>38128.80429100943</v>
      </c>
      <c r="S17" s="24" t="n">
        <v>106779.6768640147</v>
      </c>
      <c r="T17" s="24" t="n">
        <v>915091.3029842263</v>
      </c>
      <c r="U17" t="inlineStr">
        <is>
          <t>target</t>
        </is>
      </c>
      <c r="V17" s="22" t="n">
        <v>0.85</v>
      </c>
      <c r="W17" t="inlineStr">
        <is>
          <t>hcris_derived_with_state_agency</t>
        </is>
      </c>
      <c r="X17" t="b">
        <v>0</v>
      </c>
    </row>
    <row r="18">
      <c r="A18" t="inlineStr">
        <is>
          <t>034004</t>
        </is>
      </c>
      <c r="B18" t="inlineStr">
        <is>
          <t>BANNER BEHAVIORAL HEALTH HOSPITAL</t>
        </is>
      </c>
      <c r="C18" t="inlineStr">
        <is>
          <t>SCOTTSDALE</t>
        </is>
      </c>
      <c r="D18" t="inlineStr">
        <is>
          <t>AZ</t>
        </is>
      </c>
      <c r="E18" t="inlineStr">
        <is>
          <t>Banner Health</t>
        </is>
      </c>
      <c r="F18" s="22" t="n">
        <v>86.09999999999999</v>
      </c>
      <c r="G18" s="23" t="n">
        <v>67.374675</v>
      </c>
      <c r="H18" s="23" t="n">
        <v>130.47</v>
      </c>
      <c r="I18" s="23" t="n">
        <v>63.095325</v>
      </c>
      <c r="J18" s="24" t="n">
        <v>1168.3386</v>
      </c>
      <c r="K18" s="24" t="n">
        <v>584.1693</v>
      </c>
      <c r="L18" s="24" t="n">
        <v>584.1693</v>
      </c>
      <c r="M18" s="25" t="n">
        <v>0.5</v>
      </c>
      <c r="N18" s="24" t="n">
        <v>9842.870699999999</v>
      </c>
      <c r="O18" s="24" t="n">
        <v>9258.701399999998</v>
      </c>
      <c r="P18" s="24" t="n">
        <v>100593.95346</v>
      </c>
      <c r="Q18" s="24" t="n">
        <v>50296.97672999999</v>
      </c>
      <c r="R18" s="24" t="n">
        <v>797174.1905399997</v>
      </c>
      <c r="S18" s="24" t="n">
        <v>2414254.88304</v>
      </c>
      <c r="T18" s="24" t="n">
        <v>19132180.57295999</v>
      </c>
      <c r="U18" t="inlineStr">
        <is>
          <t>target</t>
        </is>
      </c>
      <c r="V18" s="22" t="n">
        <v>0.85</v>
      </c>
      <c r="W18" t="inlineStr">
        <is>
          <t>hcris_derived_with_state_agency</t>
        </is>
      </c>
      <c r="X18" t="b">
        <v>0</v>
      </c>
    </row>
    <row r="19">
      <c r="A19" t="inlineStr">
        <is>
          <t>051320</t>
        </is>
      </c>
      <c r="B19" t="inlineStr">
        <is>
          <t>BANNER LASSEN MEDICAL CENTER</t>
        </is>
      </c>
      <c r="C19" t="inlineStr">
        <is>
          <t>SUSANVILLE</t>
        </is>
      </c>
      <c r="D19" t="inlineStr">
        <is>
          <t>CA</t>
        </is>
      </c>
      <c r="E19" t="inlineStr">
        <is>
          <t>Banner Health</t>
        </is>
      </c>
      <c r="F19" s="22" t="n">
        <v>9.199999999999999</v>
      </c>
      <c r="G19" s="23" t="n">
        <v>90.78517500000001</v>
      </c>
      <c r="H19" s="23" t="n">
        <v>142.89</v>
      </c>
      <c r="I19" s="23" t="n">
        <v>52.10482499999998</v>
      </c>
      <c r="J19" s="24" t="n">
        <v>1574.0946</v>
      </c>
      <c r="K19" s="24" t="n">
        <v>787.0473000000001</v>
      </c>
      <c r="L19" s="24" t="n">
        <v>787.0473000000001</v>
      </c>
      <c r="M19" s="25" t="n">
        <v>0.5</v>
      </c>
      <c r="N19" s="24" t="n">
        <v>8128.352699999997</v>
      </c>
      <c r="O19" s="24" t="n">
        <v>7341.305399999996</v>
      </c>
      <c r="P19" s="24" t="n">
        <v>14485.06921933656</v>
      </c>
      <c r="Q19" s="24" t="n">
        <v>7242.534609668279</v>
      </c>
      <c r="R19" s="24" t="n">
        <v>67555.86155958427</v>
      </c>
      <c r="S19" s="24" t="n">
        <v>347641.6612640774</v>
      </c>
      <c r="T19" s="24" t="n">
        <v>1621340.677430022</v>
      </c>
      <c r="U19" t="inlineStr">
        <is>
          <t>target</t>
        </is>
      </c>
      <c r="V19" s="22" t="n">
        <v>0.85</v>
      </c>
      <c r="W19" t="inlineStr">
        <is>
          <t>hcris_derived_with_state_agency</t>
        </is>
      </c>
      <c r="X19" t="b">
        <v>0</v>
      </c>
    </row>
    <row r="20">
      <c r="A20" t="inlineStr">
        <is>
          <t>060001</t>
        </is>
      </c>
      <c r="B20" t="inlineStr">
        <is>
          <t>BANNER NORTH COLORADO MEDICAL CENTER</t>
        </is>
      </c>
      <c r="C20" t="inlineStr">
        <is>
          <t>GREELEY</t>
        </is>
      </c>
      <c r="D20" t="inlineStr">
        <is>
          <t>CO</t>
        </is>
      </c>
      <c r="E20" t="inlineStr">
        <is>
          <t>Banner Health</t>
        </is>
      </c>
      <c r="F20" s="22" t="n">
        <v>57.4</v>
      </c>
      <c r="G20" s="23" t="n">
        <v>78.71567999999999</v>
      </c>
      <c r="H20" s="23" t="n">
        <v>95.84999999999999</v>
      </c>
      <c r="I20" s="23" t="n">
        <v>17.13432</v>
      </c>
      <c r="J20" s="24" t="n">
        <v>1458.81216</v>
      </c>
      <c r="K20" s="24" t="n">
        <v>729.4060800000001</v>
      </c>
      <c r="L20" s="24" t="n">
        <v>729.4060800000001</v>
      </c>
      <c r="M20" s="25" t="n">
        <v>0.5</v>
      </c>
      <c r="N20" s="24" t="n">
        <v>2672.95392</v>
      </c>
      <c r="O20" s="24" t="n">
        <v>1943.54784</v>
      </c>
      <c r="P20" s="24" t="n">
        <v>83744.48152878875</v>
      </c>
      <c r="Q20" s="24" t="n">
        <v>41872.24076439437</v>
      </c>
      <c r="R20" s="24" t="n">
        <v>111571.1882928076</v>
      </c>
      <c r="S20" s="24" t="n">
        <v>2009867.55669093</v>
      </c>
      <c r="T20" s="24" t="n">
        <v>2677708.519027381</v>
      </c>
      <c r="U20" t="inlineStr">
        <is>
          <t>target</t>
        </is>
      </c>
      <c r="V20" s="22" t="n">
        <v>0.92</v>
      </c>
      <c r="W20" t="inlineStr">
        <is>
          <t>hcris_nmrc_agency_per_hospital</t>
        </is>
      </c>
      <c r="X20" t="b">
        <v>0</v>
      </c>
    </row>
    <row r="21">
      <c r="A21" t="inlineStr">
        <is>
          <t>060030</t>
        </is>
      </c>
      <c r="B21" t="inlineStr">
        <is>
          <t>BANNER NORTH CO MEDICAL CENTER - LOVELAND CAMPUS</t>
        </is>
      </c>
      <c r="C21" t="inlineStr">
        <is>
          <t>LOVELAND</t>
        </is>
      </c>
      <c r="D21" t="inlineStr">
        <is>
          <t>CO</t>
        </is>
      </c>
      <c r="E21" t="inlineStr">
        <is>
          <t>Banner Health</t>
        </is>
      </c>
      <c r="F21" s="22" t="n">
        <v>17.3</v>
      </c>
      <c r="G21" s="23" t="n">
        <v>80.25267000000001</v>
      </c>
      <c r="H21" s="23" t="n">
        <v>100.45</v>
      </c>
      <c r="I21" s="23" t="n">
        <v>20.19732999999999</v>
      </c>
      <c r="J21" s="24" t="n">
        <v>1498.43304</v>
      </c>
      <c r="K21" s="24" t="n">
        <v>749.2165199999999</v>
      </c>
      <c r="L21" s="24" t="n">
        <v>749.2165199999999</v>
      </c>
      <c r="M21" s="25" t="n">
        <v>0.5</v>
      </c>
      <c r="N21" s="24" t="n">
        <v>3150.783479999999</v>
      </c>
      <c r="O21" s="24" t="n">
        <v>2401.566959999999</v>
      </c>
      <c r="P21" s="24" t="n">
        <v>25958.18225183474</v>
      </c>
      <c r="Q21" s="24" t="n">
        <v>12979.09112591737</v>
      </c>
      <c r="R21" s="24" t="n">
        <v>41603.66941566151</v>
      </c>
      <c r="S21" s="24" t="n">
        <v>622996.3740440338</v>
      </c>
      <c r="T21" s="24" t="n">
        <v>998488.0659758763</v>
      </c>
      <c r="U21" t="inlineStr">
        <is>
          <t>target</t>
        </is>
      </c>
      <c r="V21" s="22" t="n">
        <v>0.92</v>
      </c>
      <c r="W21" t="inlineStr">
        <is>
          <t>hcris_nmrc_agency_per_hospital</t>
        </is>
      </c>
      <c r="X21" t="b">
        <v>0</v>
      </c>
    </row>
    <row r="22">
      <c r="A22" t="inlineStr">
        <is>
          <t>060126</t>
        </is>
      </c>
      <c r="B22" t="inlineStr">
        <is>
          <t>BANNER FORT COLLINS MEDICAL CENTER</t>
        </is>
      </c>
      <c r="C22" t="inlineStr">
        <is>
          <t>FORT COLLINS</t>
        </is>
      </c>
      <c r="D22" t="inlineStr">
        <is>
          <t>CO</t>
        </is>
      </c>
      <c r="E22" t="inlineStr">
        <is>
          <t>Banner Health</t>
        </is>
      </c>
      <c r="F22" s="22" t="n">
        <v>4.3</v>
      </c>
      <c r="G22" s="23" t="n">
        <v>88.43702499999999</v>
      </c>
      <c r="H22" s="23" t="n">
        <v>102.02</v>
      </c>
      <c r="I22" s="23" t="n">
        <v>13.582975</v>
      </c>
      <c r="J22" s="24" t="n">
        <v>1643.3118</v>
      </c>
      <c r="K22" s="24" t="n">
        <v>821.6558999999999</v>
      </c>
      <c r="L22" s="24" t="n">
        <v>821.6558999999999</v>
      </c>
      <c r="M22" s="25" t="n">
        <v>0.5</v>
      </c>
      <c r="N22" s="24" t="n">
        <v>2118.944100000001</v>
      </c>
      <c r="O22" s="24" t="n">
        <v>1297.288200000001</v>
      </c>
      <c r="P22" s="24" t="n">
        <v>7146.211959968633</v>
      </c>
      <c r="Q22" s="24" t="n">
        <v>3573.105979984316</v>
      </c>
      <c r="R22" s="24" t="n">
        <v>5641.471357028036</v>
      </c>
      <c r="S22" s="24" t="n">
        <v>171509.0870392472</v>
      </c>
      <c r="T22" s="24" t="n">
        <v>135395.3125686729</v>
      </c>
      <c r="U22" t="inlineStr">
        <is>
          <t>target</t>
        </is>
      </c>
      <c r="V22" s="22" t="n">
        <v>0.92</v>
      </c>
      <c r="W22" t="inlineStr">
        <is>
          <t>hcris_nmrc_agency_per_hospital</t>
        </is>
      </c>
      <c r="X22" t="b">
        <v>0</v>
      </c>
    </row>
    <row r="23">
      <c r="A23" t="inlineStr">
        <is>
          <t>291313</t>
        </is>
      </c>
      <c r="B23" t="inlineStr">
        <is>
          <t>BANNER CHURCHILL COMMUNITY HOSPITAL</t>
        </is>
      </c>
      <c r="C23" t="inlineStr">
        <is>
          <t>FALLON</t>
        </is>
      </c>
      <c r="D23" t="inlineStr">
        <is>
          <t>NV</t>
        </is>
      </c>
      <c r="E23" t="inlineStr">
        <is>
          <t>Banner Health</t>
        </is>
      </c>
      <c r="F23" s="22" t="n">
        <v>64.3</v>
      </c>
      <c r="G23" s="23" t="n">
        <v>73.09215</v>
      </c>
      <c r="H23" s="23" t="n">
        <v>130.47</v>
      </c>
      <c r="I23" s="23" t="n">
        <v>57.37785</v>
      </c>
      <c r="J23" s="24" t="n">
        <v>1267.3908</v>
      </c>
      <c r="K23" s="24" t="n">
        <v>633.6953999999999</v>
      </c>
      <c r="L23" s="24" t="n">
        <v>633.6953999999999</v>
      </c>
      <c r="M23" s="25" t="n">
        <v>0.5</v>
      </c>
      <c r="N23" s="24" t="n">
        <v>8950.944599999999</v>
      </c>
      <c r="O23" s="24" t="n">
        <v>8317.2492</v>
      </c>
      <c r="P23" s="24" t="n">
        <v>81493.22843999999</v>
      </c>
      <c r="Q23" s="24" t="n">
        <v>40746.61422</v>
      </c>
      <c r="R23" s="24" t="n">
        <v>534799.12356</v>
      </c>
      <c r="S23" s="24" t="n">
        <v>1955837.48256</v>
      </c>
      <c r="T23" s="24" t="n">
        <v>12835178.96544</v>
      </c>
      <c r="U23" t="inlineStr">
        <is>
          <t>target</t>
        </is>
      </c>
      <c r="V23" s="22" t="n">
        <v>0.85</v>
      </c>
      <c r="W23" t="inlineStr">
        <is>
          <t>hcris_derived_with_state_agency</t>
        </is>
      </c>
      <c r="X23" t="b">
        <v>0</v>
      </c>
    </row>
    <row r="24">
      <c r="A24" t="inlineStr">
        <is>
          <t>530012</t>
        </is>
      </c>
      <c r="B24" t="inlineStr">
        <is>
          <t>BANNER WYOMING MEDICAL CENTER</t>
        </is>
      </c>
      <c r="C24" t="inlineStr">
        <is>
          <t>CASPER</t>
        </is>
      </c>
      <c r="D24" t="inlineStr">
        <is>
          <t>WY</t>
        </is>
      </c>
      <c r="E24" t="inlineStr">
        <is>
          <t>Banner Health</t>
        </is>
      </c>
      <c r="F24" s="22" t="n">
        <v>51.5</v>
      </c>
      <c r="G24" s="23" t="n">
        <v>75.328035</v>
      </c>
      <c r="H24" s="23" t="n">
        <v>108.47</v>
      </c>
      <c r="I24" s="23" t="n">
        <v>33.141965</v>
      </c>
      <c r="J24" s="24" t="n">
        <v>1412.74692</v>
      </c>
      <c r="K24" s="24" t="n">
        <v>706.3734599999999</v>
      </c>
      <c r="L24" s="24" t="n">
        <v>706.3734599999999</v>
      </c>
      <c r="M24" s="25" t="n">
        <v>0.5</v>
      </c>
      <c r="N24" s="24" t="n">
        <v>5170.14654</v>
      </c>
      <c r="O24" s="24" t="n">
        <v>4463.77308</v>
      </c>
      <c r="P24" s="24" t="n">
        <v>72704.47934517378</v>
      </c>
      <c r="Q24" s="24" t="n">
        <v>36352.23967258689</v>
      </c>
      <c r="R24" s="24" t="n">
        <v>229720.0532537015</v>
      </c>
      <c r="S24" s="24" t="n">
        <v>1744907.504284171</v>
      </c>
      <c r="T24" s="24" t="n">
        <v>5513281.278088837</v>
      </c>
      <c r="U24" t="inlineStr">
        <is>
          <t>target</t>
        </is>
      </c>
      <c r="V24" s="22" t="n">
        <v>0.92</v>
      </c>
      <c r="W24" t="inlineStr">
        <is>
          <t>hcris_nmrc_agency_per_hospital</t>
        </is>
      </c>
      <c r="X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973.6155000000001</v>
      </c>
      <c r="D4" s="24" t="n">
        <v>1947.231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1460.42325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1168.3386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973.6155000000001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778.8924000000001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AZ</t>
        </is>
      </c>
      <c r="B4" t="n">
        <v>17</v>
      </c>
      <c r="C4" s="23" t="n">
        <v>63.024675</v>
      </c>
      <c r="D4" s="23" t="n">
        <v>100.54</v>
      </c>
      <c r="E4" s="23" t="n">
        <v>37.925325</v>
      </c>
      <c r="F4" s="24" t="n">
        <v>1168.3386</v>
      </c>
      <c r="G4" s="24" t="n">
        <v>584.1693</v>
      </c>
    </row>
    <row r="5">
      <c r="A5" t="inlineStr">
        <is>
          <t>CO</t>
        </is>
      </c>
      <c r="B5" t="n">
        <v>3</v>
      </c>
      <c r="C5" s="23" t="n">
        <v>80.25267000000001</v>
      </c>
      <c r="D5" s="23" t="n">
        <v>100.45</v>
      </c>
      <c r="E5" s="23" t="n">
        <v>17.13432</v>
      </c>
      <c r="F5" s="24" t="n">
        <v>1498.43304</v>
      </c>
      <c r="G5" s="24" t="n">
        <v>749.2165199999999</v>
      </c>
    </row>
    <row r="6">
      <c r="A6" t="inlineStr">
        <is>
          <t>CA</t>
        </is>
      </c>
      <c r="B6" t="n">
        <v>1</v>
      </c>
      <c r="C6" s="23" t="n">
        <v>90.78517500000001</v>
      </c>
      <c r="D6" s="23" t="n">
        <v>142.89</v>
      </c>
      <c r="E6" s="23" t="n">
        <v>52.10482499999998</v>
      </c>
      <c r="F6" s="24" t="n">
        <v>1574.0946</v>
      </c>
      <c r="G6" s="24" t="n">
        <v>787.0473000000001</v>
      </c>
    </row>
    <row r="7">
      <c r="A7" t="inlineStr">
        <is>
          <t>NV</t>
        </is>
      </c>
      <c r="B7" t="n">
        <v>1</v>
      </c>
      <c r="C7" s="23" t="n">
        <v>73.09215</v>
      </c>
      <c r="D7" s="23" t="n">
        <v>130.47</v>
      </c>
      <c r="E7" s="23" t="n">
        <v>57.37785</v>
      </c>
      <c r="F7" s="24" t="n">
        <v>1267.3908</v>
      </c>
      <c r="G7" s="24" t="n">
        <v>633.6953999999999</v>
      </c>
    </row>
    <row r="8">
      <c r="A8" t="inlineStr">
        <is>
          <t>WY</t>
        </is>
      </c>
      <c r="B8" t="n">
        <v>1</v>
      </c>
      <c r="C8" s="23" t="n">
        <v>75.328035</v>
      </c>
      <c r="D8" s="23" t="n">
        <v>108.47</v>
      </c>
      <c r="E8" s="23" t="n">
        <v>33.141965</v>
      </c>
      <c r="F8" s="24" t="n">
        <v>1412.74692</v>
      </c>
      <c r="G8" s="24" t="n">
        <v>706.3734599999999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030002</t>
        </is>
      </c>
      <c r="B2" t="inlineStr">
        <is>
          <t>BANNER - UNIVERSITY MEDICAL CENTER PHOENIX</t>
        </is>
      </c>
      <c r="C2" t="inlineStr">
        <is>
          <t>PHOENIX</t>
        </is>
      </c>
      <c r="D2" t="inlineStr">
        <is>
          <t>AZ</t>
        </is>
      </c>
      <c r="E2" t="inlineStr">
        <is>
          <t>MARICOPA</t>
        </is>
      </c>
      <c r="F2" t="inlineStr">
        <is>
          <t>Acute Care Hospitals</t>
        </is>
      </c>
      <c r="G2" t="inlineStr">
        <is>
          <t>Voluntary non-profit - Other</t>
        </is>
      </c>
      <c r="H2" s="24" t="n">
        <v>3959</v>
      </c>
      <c r="I2" s="24" t="n">
        <v>1382656</v>
      </c>
      <c r="J2" s="25" t="n">
        <v>0.004</v>
      </c>
      <c r="K2" s="25" t="n">
        <v>0.1563</v>
      </c>
      <c r="L2" s="24" t="n">
        <v>5.4</v>
      </c>
      <c r="M2" s="24" t="n">
        <v>61.474675</v>
      </c>
      <c r="N2" s="24" t="n">
        <v>99.40000000000001</v>
      </c>
      <c r="O2" t="inlineStr">
        <is>
          <t>hcris_nmrc_agency_per_hospital</t>
        </is>
      </c>
      <c r="P2" s="26" t="n">
        <v>0.92</v>
      </c>
    </row>
    <row r="3">
      <c r="A3" t="inlineStr">
        <is>
          <t>030016</t>
        </is>
      </c>
      <c r="B3" t="inlineStr">
        <is>
          <t>BANNER CASA GRANDE MEDICAL CENTER</t>
        </is>
      </c>
      <c r="C3" t="inlineStr">
        <is>
          <t>CASA GRANDE</t>
        </is>
      </c>
      <c r="D3" t="inlineStr">
        <is>
          <t>AZ</t>
        </is>
      </c>
      <c r="E3" t="inlineStr">
        <is>
          <t>PINAL</t>
        </is>
      </c>
      <c r="F3" t="inlineStr">
        <is>
          <t>Acute Care Hospitals</t>
        </is>
      </c>
      <c r="G3" t="inlineStr">
        <is>
          <t>Voluntary non-profit - Other</t>
        </is>
      </c>
      <c r="H3" s="24" t="n">
        <v>601</v>
      </c>
      <c r="I3" s="24" t="n">
        <v>10495356</v>
      </c>
      <c r="J3" s="25" t="n">
        <v>0.1813</v>
      </c>
      <c r="K3" s="25" t="n">
        <v>0.0563</v>
      </c>
      <c r="L3" s="24" t="n">
        <v>43</v>
      </c>
      <c r="M3" s="24" t="n">
        <v>63.224675</v>
      </c>
      <c r="N3" s="24" t="n">
        <v>93.98</v>
      </c>
      <c r="O3" t="inlineStr">
        <is>
          <t>hcris_nmrc_agency_per_hospital</t>
        </is>
      </c>
      <c r="P3" s="26" t="n">
        <v>0.92</v>
      </c>
    </row>
    <row r="4">
      <c r="A4" t="inlineStr">
        <is>
          <t>030061</t>
        </is>
      </c>
      <c r="B4" t="inlineStr">
        <is>
          <t>BANNER BOSWELL MEDICAL CENTER</t>
        </is>
      </c>
      <c r="C4" t="inlineStr">
        <is>
          <t>SUN CITY</t>
        </is>
      </c>
      <c r="D4" t="inlineStr">
        <is>
          <t>AZ</t>
        </is>
      </c>
      <c r="E4" t="inlineStr">
        <is>
          <t>MARICOPA</t>
        </is>
      </c>
      <c r="F4" t="inlineStr">
        <is>
          <t>Acute Care Hospitals</t>
        </is>
      </c>
      <c r="G4" t="inlineStr">
        <is>
          <t>Voluntary non-profit - Other</t>
        </is>
      </c>
      <c r="H4" s="24" t="n">
        <v>1268</v>
      </c>
      <c r="I4" s="24" t="n">
        <v>34924387</v>
      </c>
      <c r="J4" s="25" t="n">
        <v>0.247</v>
      </c>
      <c r="K4" s="25" t="n">
        <v>0.0359</v>
      </c>
      <c r="L4" s="24" t="n">
        <v>132.8</v>
      </c>
      <c r="M4" s="24" t="n">
        <v>63.054675</v>
      </c>
      <c r="N4" s="24" t="n">
        <v>101.11</v>
      </c>
      <c r="O4" t="inlineStr">
        <is>
          <t>hcris_nmrc_agency_per_hospital</t>
        </is>
      </c>
      <c r="P4" s="26" t="n">
        <v>0.92</v>
      </c>
    </row>
    <row r="5">
      <c r="A5" t="inlineStr">
        <is>
          <t>030064</t>
        </is>
      </c>
      <c r="B5" t="inlineStr">
        <is>
          <t>BANNER - UNIVERSITY MEDICAL CENTER TUCSON CAMPUS</t>
        </is>
      </c>
      <c r="C5" t="inlineStr">
        <is>
          <t>TUCSON</t>
        </is>
      </c>
      <c r="D5" t="inlineStr">
        <is>
          <t>AZ</t>
        </is>
      </c>
      <c r="E5" t="inlineStr">
        <is>
          <t>PIMA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3670</v>
      </c>
      <c r="I5" s="24" t="n">
        <v>100134364</v>
      </c>
      <c r="J5" s="25" t="n">
        <v>0.2557</v>
      </c>
      <c r="K5" s="25" t="n">
        <v>0.179</v>
      </c>
      <c r="L5" s="24" t="n">
        <v>284.3</v>
      </c>
      <c r="M5" s="24" t="n">
        <v>59.18195</v>
      </c>
      <c r="N5" s="24" t="n">
        <v>135.45</v>
      </c>
      <c r="O5" t="inlineStr">
        <is>
          <t>hcris_nmrc_agency_per_hospital</t>
        </is>
      </c>
      <c r="P5" s="26" t="n">
        <v>0.92</v>
      </c>
    </row>
    <row r="6">
      <c r="A6" t="inlineStr">
        <is>
          <t>030065</t>
        </is>
      </c>
      <c r="B6" t="inlineStr">
        <is>
          <t>BANNER DESERT MEDICAL CENTER</t>
        </is>
      </c>
      <c r="C6" t="inlineStr">
        <is>
          <t>MESA</t>
        </is>
      </c>
      <c r="D6" t="inlineStr">
        <is>
          <t>AZ</t>
        </is>
      </c>
      <c r="E6" t="inlineStr">
        <is>
          <t>MARICOPA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2649</v>
      </c>
      <c r="I6" s="24" t="n">
        <v>57089511</v>
      </c>
      <c r="J6" s="25" t="n">
        <v>0.1996</v>
      </c>
      <c r="K6" s="25" t="n">
        <v>0.234</v>
      </c>
      <c r="L6" s="24" t="n">
        <v>217.6</v>
      </c>
      <c r="M6" s="24" t="n">
        <v>62.57467500000001</v>
      </c>
      <c r="N6" s="24" t="n">
        <v>100.9</v>
      </c>
      <c r="O6" t="inlineStr">
        <is>
          <t>hcris_nmrc_agency_per_hospital</t>
        </is>
      </c>
      <c r="P6" s="26" t="n">
        <v>0.92</v>
      </c>
    </row>
    <row r="7">
      <c r="A7" t="inlineStr">
        <is>
          <t>030088</t>
        </is>
      </c>
      <c r="B7" t="inlineStr">
        <is>
          <t>BANNER BAYWOOD MEDICAL CENTER</t>
        </is>
      </c>
      <c r="C7" t="inlineStr">
        <is>
          <t>MESA</t>
        </is>
      </c>
      <c r="D7" t="inlineStr">
        <is>
          <t>AZ</t>
        </is>
      </c>
      <c r="E7" t="inlineStr">
        <is>
          <t>MARICOPA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1090</v>
      </c>
      <c r="I7" s="24" t="n">
        <v>17636451</v>
      </c>
      <c r="J7" s="25" t="n">
        <v>0.1648</v>
      </c>
      <c r="K7" s="25" t="n">
        <v>0.055</v>
      </c>
      <c r="L7" s="24" t="n">
        <v>68.59999999999999</v>
      </c>
      <c r="M7" s="24" t="n">
        <v>63.974675</v>
      </c>
      <c r="N7" s="24" t="n">
        <v>98.83</v>
      </c>
      <c r="O7" t="inlineStr">
        <is>
          <t>hcris_nmrc_agency_per_hospital</t>
        </is>
      </c>
      <c r="P7" s="26" t="n">
        <v>0.92</v>
      </c>
    </row>
    <row r="8">
      <c r="A8" t="inlineStr">
        <is>
          <t>030089</t>
        </is>
      </c>
      <c r="B8" t="inlineStr">
        <is>
          <t>BANNER THUNDERBIRD MEDICAL CENTER</t>
        </is>
      </c>
      <c r="C8" t="inlineStr">
        <is>
          <t>GLENDALE</t>
        </is>
      </c>
      <c r="D8" t="inlineStr">
        <is>
          <t>AZ</t>
        </is>
      </c>
      <c r="E8" t="inlineStr">
        <is>
          <t>MARICOPA</t>
        </is>
      </c>
      <c r="F8" t="inlineStr">
        <is>
          <t>Acute Care Hospitals</t>
        </is>
      </c>
      <c r="G8" t="inlineStr">
        <is>
          <t>Government - Hospital District or Authority</t>
        </is>
      </c>
      <c r="H8" s="24" t="n">
        <v>2271</v>
      </c>
      <c r="I8" s="24" t="n">
        <v>34602348</v>
      </c>
      <c r="J8" s="25" t="n">
        <v>0.1471</v>
      </c>
      <c r="K8" s="25" t="n">
        <v>0.2323</v>
      </c>
      <c r="L8" s="24" t="n">
        <v>134.6</v>
      </c>
      <c r="M8" s="24" t="n">
        <v>62.734675</v>
      </c>
      <c r="N8" s="24" t="n">
        <v>98.89</v>
      </c>
      <c r="O8" t="inlineStr">
        <is>
          <t>hcris_nmrc_agency_per_hospital</t>
        </is>
      </c>
      <c r="P8" s="26" t="n">
        <v>0.92</v>
      </c>
    </row>
    <row r="9">
      <c r="A9" t="inlineStr">
        <is>
          <t>030093</t>
        </is>
      </c>
      <c r="B9" t="inlineStr">
        <is>
          <t>BANNER DEL E. WEBB MEDICAL CENTER</t>
        </is>
      </c>
      <c r="C9" t="inlineStr">
        <is>
          <t>SUN CITY WEST</t>
        </is>
      </c>
      <c r="D9" t="inlineStr">
        <is>
          <t>AZ</t>
        </is>
      </c>
      <c r="E9" t="inlineStr">
        <is>
          <t>MARICOPA</t>
        </is>
      </c>
      <c r="F9" t="inlineStr">
        <is>
          <t>Acute Care Hospitals</t>
        </is>
      </c>
      <c r="G9" t="inlineStr">
        <is>
          <t>Voluntary non-profit - Private</t>
        </is>
      </c>
      <c r="H9" s="24" t="n">
        <v>1275</v>
      </c>
      <c r="I9" s="24" t="n">
        <v>18842277</v>
      </c>
      <c r="J9" s="25" t="n">
        <v>0.1442</v>
      </c>
      <c r="K9" s="25" t="n">
        <v>0.1192</v>
      </c>
      <c r="L9" s="24" t="n">
        <v>75.40000000000001</v>
      </c>
      <c r="M9" s="24" t="n">
        <v>62.79467500000001</v>
      </c>
      <c r="N9" s="24" t="n">
        <v>96.09999999999999</v>
      </c>
      <c r="O9" t="inlineStr">
        <is>
          <t>hcris_nmrc_agency_per_hospital</t>
        </is>
      </c>
      <c r="P9" s="26" t="n">
        <v>0.92</v>
      </c>
    </row>
    <row r="10">
      <c r="A10" t="inlineStr">
        <is>
          <t>030105</t>
        </is>
      </c>
      <c r="B10" t="inlineStr">
        <is>
          <t>BANNER HEART HOSPITAL</t>
        </is>
      </c>
      <c r="C10" t="inlineStr">
        <is>
          <t>MESA</t>
        </is>
      </c>
      <c r="D10" t="inlineStr">
        <is>
          <t>AZ</t>
        </is>
      </c>
      <c r="E10" t="inlineStr">
        <is>
          <t>MARICOPA</t>
        </is>
      </c>
      <c r="F10" t="inlineStr">
        <is>
          <t>Acute Care Hospitals</t>
        </is>
      </c>
      <c r="G10" t="inlineStr">
        <is>
          <t>Voluntary non-profit - Private</t>
        </is>
      </c>
      <c r="H10" s="24" t="n">
        <v>348</v>
      </c>
      <c r="I10" s="24" t="n">
        <v>3399826</v>
      </c>
      <c r="J10" s="25" t="n">
        <v>0.0963</v>
      </c>
      <c r="K10" s="25" t="n">
        <v>0.2276</v>
      </c>
      <c r="L10" s="24" t="n">
        <v>12</v>
      </c>
      <c r="M10" s="24" t="n">
        <v>63.054675</v>
      </c>
      <c r="N10" s="24" t="n">
        <v>108.61</v>
      </c>
      <c r="O10" t="inlineStr">
        <is>
          <t>hcris_nmrc_agency_per_hospital</t>
        </is>
      </c>
      <c r="P10" s="26" t="n">
        <v>0.92</v>
      </c>
    </row>
    <row r="11">
      <c r="A11" t="inlineStr">
        <is>
          <t>030111</t>
        </is>
      </c>
      <c r="B11" t="inlineStr">
        <is>
          <t>BANNER-UNIVERSITY MEDICAL CENTER SOUTH CAMPUS</t>
        </is>
      </c>
      <c r="C11" t="inlineStr">
        <is>
          <t>TUCSON</t>
        </is>
      </c>
      <c r="D11" t="inlineStr">
        <is>
          <t>AZ</t>
        </is>
      </c>
      <c r="E11" t="inlineStr">
        <is>
          <t>PIMA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785</v>
      </c>
      <c r="I11" s="24" t="n">
        <v>19459936</v>
      </c>
      <c r="J11" s="25" t="n">
        <v>0.2395</v>
      </c>
      <c r="K11" s="25" t="n">
        <v>0.191</v>
      </c>
      <c r="L11" s="24" t="n">
        <v>142.8</v>
      </c>
      <c r="M11" s="24" t="n">
        <v>59.16195</v>
      </c>
      <c r="N11" s="24" t="n">
        <v>59.16195</v>
      </c>
      <c r="O11" t="inlineStr">
        <is>
          <t>hcris_nmrc_agency_per_hospital</t>
        </is>
      </c>
      <c r="P11" s="26" t="n">
        <v>0.92</v>
      </c>
    </row>
    <row r="12">
      <c r="A12" t="inlineStr">
        <is>
          <t>030115</t>
        </is>
      </c>
      <c r="B12" t="inlineStr">
        <is>
          <t>BANNER ESTRELLA MEDICAL CENTER</t>
        </is>
      </c>
      <c r="C12" t="inlineStr">
        <is>
          <t>PHOENIX</t>
        </is>
      </c>
      <c r="D12" t="inlineStr">
        <is>
          <t>AZ</t>
        </is>
      </c>
      <c r="E12" t="inlineStr">
        <is>
          <t>MARICOPA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1405</v>
      </c>
      <c r="I12" s="24" t="n">
        <v>25890893</v>
      </c>
      <c r="J12" s="25" t="n">
        <v>0.1747</v>
      </c>
      <c r="K12" s="25" t="n">
        <v>0.2046</v>
      </c>
      <c r="L12" s="24" t="n">
        <v>97</v>
      </c>
      <c r="M12" s="24" t="n">
        <v>62.814675</v>
      </c>
      <c r="N12" s="24" t="n">
        <v>102.64</v>
      </c>
      <c r="O12" t="inlineStr">
        <is>
          <t>hcris_nmrc_agency_per_hospital</t>
        </is>
      </c>
      <c r="P12" s="26" t="n">
        <v>0.92</v>
      </c>
    </row>
    <row r="13">
      <c r="A13" t="inlineStr">
        <is>
          <t>030122</t>
        </is>
      </c>
      <c r="B13" t="inlineStr">
        <is>
          <t>BANNER GATEWAY MEDICAL CENTER</t>
        </is>
      </c>
      <c r="C13" t="inlineStr">
        <is>
          <t>GILBERT</t>
        </is>
      </c>
      <c r="D13" t="inlineStr">
        <is>
          <t>AZ</t>
        </is>
      </c>
      <c r="E13" t="inlineStr">
        <is>
          <t>MARICOPA</t>
        </is>
      </c>
      <c r="F13" t="inlineStr">
        <is>
          <t>Acute Care Hospitals</t>
        </is>
      </c>
      <c r="G13" t="inlineStr">
        <is>
          <t>Voluntary non-profit - Other</t>
        </is>
      </c>
      <c r="H13" s="24" t="n">
        <v>1667</v>
      </c>
      <c r="I13" s="24" t="n">
        <v>22358705</v>
      </c>
      <c r="J13" s="25" t="n">
        <v>0.138</v>
      </c>
      <c r="K13" s="25" t="n">
        <v>0.2322</v>
      </c>
      <c r="L13" s="24" t="n">
        <v>86.3</v>
      </c>
      <c r="M13" s="24" t="n">
        <v>62.814675</v>
      </c>
      <c r="N13" s="24" t="n">
        <v>99.65000000000001</v>
      </c>
      <c r="O13" t="inlineStr">
        <is>
          <t>hcris_nmrc_agency_per_hospital</t>
        </is>
      </c>
      <c r="P13" s="26" t="n">
        <v>0.92</v>
      </c>
    </row>
    <row r="14">
      <c r="A14" t="inlineStr">
        <is>
          <t>030130</t>
        </is>
      </c>
      <c r="B14" t="inlineStr">
        <is>
          <t>BANNER IRONWOOD MEDICAL CENTER</t>
        </is>
      </c>
      <c r="C14" t="inlineStr">
        <is>
          <t>QUEEN CREEK</t>
        </is>
      </c>
      <c r="D14" t="inlineStr">
        <is>
          <t>AZ</t>
        </is>
      </c>
      <c r="E14" t="inlineStr">
        <is>
          <t>PINAL</t>
        </is>
      </c>
      <c r="F14" t="inlineStr">
        <is>
          <t>Acute Care Hospitals</t>
        </is>
      </c>
      <c r="G14" t="inlineStr">
        <is>
          <t>Voluntary non-profit - Private</t>
        </is>
      </c>
      <c r="H14" s="24" t="n">
        <v>435</v>
      </c>
      <c r="I14" s="24" t="n">
        <v>1386256</v>
      </c>
      <c r="J14" s="25" t="n">
        <v>0.0349</v>
      </c>
      <c r="K14" s="25" t="n">
        <v>0.2347</v>
      </c>
      <c r="L14" s="24" t="n">
        <v>5.2</v>
      </c>
      <c r="M14" s="24" t="n">
        <v>63.29467500000001</v>
      </c>
      <c r="N14" s="24" t="n">
        <v>102.97</v>
      </c>
      <c r="O14" t="inlineStr">
        <is>
          <t>hcris_nmrc_agency_per_hospital</t>
        </is>
      </c>
      <c r="P14" s="26" t="n">
        <v>0.92</v>
      </c>
    </row>
    <row r="15">
      <c r="A15" t="inlineStr">
        <is>
          <t>030134</t>
        </is>
      </c>
      <c r="B15" t="inlineStr">
        <is>
          <t>BANNER GOLDFIELD MEDICAL CENTER</t>
        </is>
      </c>
      <c r="C15" t="inlineStr">
        <is>
          <t>APACHE JUNCTION</t>
        </is>
      </c>
      <c r="D15" t="inlineStr">
        <is>
          <t>AZ</t>
        </is>
      </c>
      <c r="E15" t="inlineStr">
        <is>
          <t>PINAL</t>
        </is>
      </c>
      <c r="F15" t="inlineStr">
        <is>
          <t>Acute Care Hospitals</t>
        </is>
      </c>
      <c r="G15" t="inlineStr">
        <is>
          <t>Voluntary non-profit - Other</t>
        </is>
      </c>
      <c r="H15" s="24" t="n">
        <v>90</v>
      </c>
      <c r="I15" s="24" t="n">
        <v>512975</v>
      </c>
      <c r="J15" s="25" t="n">
        <v>0.0587</v>
      </c>
      <c r="K15" s="25" t="n">
        <v>0.1654</v>
      </c>
      <c r="L15" s="24" t="n">
        <v>2</v>
      </c>
      <c r="M15" s="24" t="n">
        <v>63.42467500000001</v>
      </c>
      <c r="N15" s="24" t="n">
        <v>100.49</v>
      </c>
      <c r="O15" t="inlineStr">
        <is>
          <t>hcris_nmrc_agency_per_hospital</t>
        </is>
      </c>
      <c r="P15" s="26" t="n">
        <v>0.92</v>
      </c>
    </row>
    <row r="16">
      <c r="A16" t="inlineStr">
        <is>
          <t>030147</t>
        </is>
      </c>
      <c r="B16" t="inlineStr">
        <is>
          <t>BANNER OCOTILLO MEDICAL CENTER</t>
        </is>
      </c>
      <c r="C16" t="inlineStr">
        <is>
          <t>CHANDLER</t>
        </is>
      </c>
      <c r="D16" t="inlineStr">
        <is>
          <t>AZ</t>
        </is>
      </c>
      <c r="E16" t="inlineStr">
        <is>
          <t>MARICOPA</t>
        </is>
      </c>
      <c r="F16" t="inlineStr">
        <is>
          <t>Acute Care Hospitals</t>
        </is>
      </c>
      <c r="G16" t="inlineStr">
        <is>
          <t>Voluntary non-profit - Private</t>
        </is>
      </c>
      <c r="H16" s="24" t="n">
        <v>334</v>
      </c>
      <c r="I16" s="24" t="n">
        <v>3478753</v>
      </c>
      <c r="J16" s="25" t="n">
        <v>0.1078</v>
      </c>
      <c r="K16" s="25" t="n">
        <v>0.7876</v>
      </c>
      <c r="L16" s="24" t="n">
        <v>13.3</v>
      </c>
      <c r="M16" s="24" t="n">
        <v>63.024675</v>
      </c>
      <c r="N16" s="24" t="n">
        <v>100.54</v>
      </c>
      <c r="O16" t="inlineStr">
        <is>
          <t>hcris_nmrc_agency_per_hospital</t>
        </is>
      </c>
      <c r="P16" s="26" t="n">
        <v>0.92</v>
      </c>
    </row>
    <row r="17">
      <c r="A17" t="inlineStr">
        <is>
          <t>031318</t>
        </is>
      </c>
      <c r="B17" t="inlineStr">
        <is>
          <t>BANNER PAYSON MEDICAL CENTER</t>
        </is>
      </c>
      <c r="C17" t="inlineStr">
        <is>
          <t>PAYSON</t>
        </is>
      </c>
      <c r="D17" t="inlineStr">
        <is>
          <t>AZ</t>
        </is>
      </c>
      <c r="E17" t="inlineStr">
        <is>
          <t>GILA</t>
        </is>
      </c>
      <c r="F17" t="inlineStr">
        <is>
          <t>Critical Access Hospitals</t>
        </is>
      </c>
      <c r="G17" t="inlineStr">
        <is>
          <t>Voluntary non-profit - Other</t>
        </is>
      </c>
      <c r="H17" s="24" t="n">
        <v>188</v>
      </c>
      <c r="I17" s="24" t="n">
        <v>1339687</v>
      </c>
      <c r="J17" s="25" t="n">
        <v>0.0701</v>
      </c>
      <c r="K17" s="25" t="n">
        <v>0.099</v>
      </c>
      <c r="L17" s="24" t="n">
        <v>3.9</v>
      </c>
      <c r="M17" s="24" t="n">
        <v>64.9708</v>
      </c>
      <c r="N17" s="24" t="n">
        <v>130.47</v>
      </c>
      <c r="O17" t="inlineStr">
        <is>
          <t>hcris_derived_with_state_agency</t>
        </is>
      </c>
      <c r="P17" s="26" t="n">
        <v>0.85</v>
      </c>
    </row>
    <row r="18">
      <c r="A18" t="inlineStr">
        <is>
          <t>034004</t>
        </is>
      </c>
      <c r="B18" t="inlineStr">
        <is>
          <t>BANNER BEHAVIORAL HEALTH HOSPITAL</t>
        </is>
      </c>
      <c r="C18" t="inlineStr">
        <is>
          <t>SCOTTSDALE</t>
        </is>
      </c>
      <c r="D18" t="inlineStr">
        <is>
          <t>AZ</t>
        </is>
      </c>
      <c r="E18" t="inlineStr">
        <is>
          <t>MARICOPA</t>
        </is>
      </c>
      <c r="F18" t="inlineStr">
        <is>
          <t>Psychiatric</t>
        </is>
      </c>
      <c r="G18" t="inlineStr">
        <is>
          <t>Voluntary non-profit - Private</t>
        </is>
      </c>
      <c r="H18" s="24" t="n">
        <v>319</v>
      </c>
      <c r="I18" t="inlineStr"/>
      <c r="J18" t="inlineStr"/>
      <c r="K18" s="25" t="n">
        <v>0.0544</v>
      </c>
      <c r="L18" s="24" t="n">
        <v>86.09999999999999</v>
      </c>
      <c r="M18" s="24" t="n">
        <v>67.374675</v>
      </c>
      <c r="N18" s="24" t="n">
        <v>130.47</v>
      </c>
      <c r="O18" t="inlineStr">
        <is>
          <t>hcris_derived_with_state_agency</t>
        </is>
      </c>
      <c r="P18" s="26" t="n">
        <v>0.85</v>
      </c>
    </row>
    <row r="19">
      <c r="A19" t="inlineStr">
        <is>
          <t>051320</t>
        </is>
      </c>
      <c r="B19" t="inlineStr">
        <is>
          <t>BANNER LASSEN MEDICAL CENTER</t>
        </is>
      </c>
      <c r="C19" t="inlineStr">
        <is>
          <t>SUSANVILLE</t>
        </is>
      </c>
      <c r="D19" t="inlineStr">
        <is>
          <t>CA</t>
        </is>
      </c>
      <c r="E19" t="inlineStr">
        <is>
          <t>LASSEN</t>
        </is>
      </c>
      <c r="F19" t="inlineStr">
        <is>
          <t>Critical Access Hospitals</t>
        </is>
      </c>
      <c r="G19" t="inlineStr">
        <is>
          <t>Voluntary non-profit - Private</t>
        </is>
      </c>
      <c r="H19" s="24" t="n">
        <v>152</v>
      </c>
      <c r="I19" s="24" t="n">
        <v>3418731</v>
      </c>
      <c r="J19" s="25" t="n">
        <v>0.1813</v>
      </c>
      <c r="K19" s="25" t="n">
        <v>0.0595</v>
      </c>
      <c r="L19" s="24" t="n">
        <v>9.199999999999999</v>
      </c>
      <c r="M19" s="24" t="n">
        <v>90.78517500000001</v>
      </c>
      <c r="N19" s="24" t="n">
        <v>142.89</v>
      </c>
      <c r="O19" t="inlineStr">
        <is>
          <t>hcris_derived_with_state_agency</t>
        </is>
      </c>
      <c r="P19" s="26" t="n">
        <v>0.85</v>
      </c>
    </row>
    <row r="20">
      <c r="A20" t="inlineStr">
        <is>
          <t>060001</t>
        </is>
      </c>
      <c r="B20" t="inlineStr">
        <is>
          <t>BANNER NORTH COLORADO MEDICAL CENTER</t>
        </is>
      </c>
      <c r="C20" t="inlineStr">
        <is>
          <t>GREELEY</t>
        </is>
      </c>
      <c r="D20" t="inlineStr">
        <is>
          <t>CO</t>
        </is>
      </c>
      <c r="E20" t="inlineStr">
        <is>
          <t>WELD</t>
        </is>
      </c>
      <c r="F20" t="inlineStr">
        <is>
          <t>Acute Care Hospitals</t>
        </is>
      </c>
      <c r="G20" t="inlineStr">
        <is>
          <t>Voluntary non-profit - Private</t>
        </is>
      </c>
      <c r="H20" s="24" t="n">
        <v>946</v>
      </c>
      <c r="I20" s="24" t="n">
        <v>14306134</v>
      </c>
      <c r="J20" s="25" t="n">
        <v>0.1397</v>
      </c>
      <c r="K20" s="25" t="n">
        <v>0.1566</v>
      </c>
      <c r="L20" s="24" t="n">
        <v>57.4</v>
      </c>
      <c r="M20" s="24" t="n">
        <v>78.71567999999999</v>
      </c>
      <c r="N20" s="24" t="n">
        <v>95.84999999999999</v>
      </c>
      <c r="O20" t="inlineStr">
        <is>
          <t>hcris_nmrc_agency_per_hospital</t>
        </is>
      </c>
      <c r="P20" s="26" t="n">
        <v>0.92</v>
      </c>
    </row>
    <row r="21">
      <c r="A21" t="inlineStr">
        <is>
          <t>060030</t>
        </is>
      </c>
      <c r="B21" t="inlineStr">
        <is>
          <t>BANNER NORTH CO MEDICAL CENTER - LOVELAND CAMPUS</t>
        </is>
      </c>
      <c r="C21" t="inlineStr">
        <is>
          <t>LOVELAND</t>
        </is>
      </c>
      <c r="D21" t="inlineStr">
        <is>
          <t>CO</t>
        </is>
      </c>
      <c r="E21" t="inlineStr">
        <is>
          <t>LARIMER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327</v>
      </c>
      <c r="I21" s="24" t="n">
        <v>4524392</v>
      </c>
      <c r="J21" s="25" t="n">
        <v>0.1277</v>
      </c>
      <c r="K21" s="25" t="n">
        <v>0.0669</v>
      </c>
      <c r="L21" s="24" t="n">
        <v>17.3</v>
      </c>
      <c r="M21" s="24" t="n">
        <v>80.25267000000001</v>
      </c>
      <c r="N21" s="24" t="n">
        <v>100.45</v>
      </c>
      <c r="O21" t="inlineStr">
        <is>
          <t>hcris_nmrc_agency_per_hospital</t>
        </is>
      </c>
      <c r="P21" s="26" t="n">
        <v>0.92</v>
      </c>
    </row>
    <row r="22">
      <c r="A22" t="inlineStr">
        <is>
          <t>060126</t>
        </is>
      </c>
      <c r="B22" t="inlineStr">
        <is>
          <t>BANNER FORT COLLINS MEDICAL CENTER</t>
        </is>
      </c>
      <c r="C22" t="inlineStr">
        <is>
          <t>FORT COLLINS</t>
        </is>
      </c>
      <c r="D22" t="inlineStr">
        <is>
          <t>CO</t>
        </is>
      </c>
      <c r="E22" t="inlineStr">
        <is>
          <t>LARIMER</t>
        </is>
      </c>
      <c r="F22" t="inlineStr">
        <is>
          <t>Acute Care Hospitals</t>
        </is>
      </c>
      <c r="G22" t="inlineStr">
        <is>
          <t>Voluntary non-profit - Other</t>
        </is>
      </c>
      <c r="H22" s="24" t="n">
        <v>149</v>
      </c>
      <c r="I22" s="24" t="n">
        <v>1153492</v>
      </c>
      <c r="J22" s="25" t="n">
        <v>0.0732</v>
      </c>
      <c r="K22" s="25" t="n">
        <v>0.1888</v>
      </c>
      <c r="L22" s="24" t="n">
        <v>4.3</v>
      </c>
      <c r="M22" s="24" t="n">
        <v>88.43702499999999</v>
      </c>
      <c r="N22" s="24" t="n">
        <v>102.02</v>
      </c>
      <c r="O22" t="inlineStr">
        <is>
          <t>hcris_nmrc_agency_per_hospital</t>
        </is>
      </c>
      <c r="P22" s="26" t="n">
        <v>0.92</v>
      </c>
    </row>
    <row r="23">
      <c r="A23" t="inlineStr">
        <is>
          <t>291313</t>
        </is>
      </c>
      <c r="B23" t="inlineStr">
        <is>
          <t>BANNER CHURCHILL COMMUNITY HOSPITAL</t>
        </is>
      </c>
      <c r="C23" t="inlineStr">
        <is>
          <t>FALLON</t>
        </is>
      </c>
      <c r="D23" t="inlineStr">
        <is>
          <t>NV</t>
        </is>
      </c>
      <c r="E23" t="inlineStr">
        <is>
          <t>CHURCHILL</t>
        </is>
      </c>
      <c r="F23" t="inlineStr">
        <is>
          <t>Critical Access Hospitals</t>
        </is>
      </c>
      <c r="G23" t="inlineStr">
        <is>
          <t>Voluntary non-profit - Private</t>
        </is>
      </c>
      <c r="H23" s="24" t="n">
        <v>238</v>
      </c>
      <c r="I23" t="inlineStr"/>
      <c r="J23" t="inlineStr"/>
      <c r="K23" s="25" t="n">
        <v>0.09470000000000001</v>
      </c>
      <c r="L23" s="24" t="n">
        <v>64.3</v>
      </c>
      <c r="M23" s="24" t="n">
        <v>73.09215</v>
      </c>
      <c r="N23" s="24" t="n">
        <v>130.47</v>
      </c>
      <c r="O23" t="inlineStr">
        <is>
          <t>hcris_derived_with_state_agency</t>
        </is>
      </c>
      <c r="P23" s="26" t="n">
        <v>0.85</v>
      </c>
    </row>
    <row r="24">
      <c r="A24" t="inlineStr">
        <is>
          <t>530012</t>
        </is>
      </c>
      <c r="B24" t="inlineStr">
        <is>
          <t>BANNER WYOMING MEDICAL CENTER</t>
        </is>
      </c>
      <c r="C24" t="inlineStr">
        <is>
          <t>CASPER</t>
        </is>
      </c>
      <c r="D24" t="inlineStr">
        <is>
          <t>WY</t>
        </is>
      </c>
      <c r="E24" t="inlineStr">
        <is>
          <t>NATRONA</t>
        </is>
      </c>
      <c r="F24" t="inlineStr">
        <is>
          <t>Acute Care Hospitals</t>
        </is>
      </c>
      <c r="G24" t="inlineStr">
        <is>
          <t>Government - Local</t>
        </is>
      </c>
      <c r="H24" s="24" t="n">
        <v>727</v>
      </c>
      <c r="I24" s="24" t="n">
        <v>14513755</v>
      </c>
      <c r="J24" s="25" t="n">
        <v>0.1926</v>
      </c>
      <c r="K24" s="25" t="n">
        <v>0.2154</v>
      </c>
      <c r="L24" s="24" t="n">
        <v>51.5</v>
      </c>
      <c r="M24" s="24" t="n">
        <v>75.328035</v>
      </c>
      <c r="N24" s="24" t="n">
        <v>108.47</v>
      </c>
      <c r="O24" t="inlineStr">
        <is>
          <t>hcris_nmrc_agency_per_hospital</t>
        </is>
      </c>
      <c r="P24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Banner Health</t>
        </is>
      </c>
    </row>
    <row r="4">
      <c r="A4" s="6" t="inlineStr">
        <is>
          <t>Scope</t>
        </is>
      </c>
      <c r="B4" s="29" t="inlineStr">
        <is>
          <t>23 hospitals in 5 states (AZ, CA, CO, NV, WY)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2026-05-28T18:02:17Z</dcterms:created>
  <dcterms:modified xsi:type="dcterms:W3CDTF">2026-05-28T18:02:17Z</dcterms:modified>
</cp:coreProperties>
</file>