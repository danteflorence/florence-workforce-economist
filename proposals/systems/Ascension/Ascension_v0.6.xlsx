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Executive_Summary" sheetId="1" state="visible" r:id="rId1"/>
    <sheet name="2_Inputs" sheetId="2" state="visible" r:id="rId2"/>
    <sheet name="3_Pricing_Mode" sheetId="3" state="visible" r:id="rId3"/>
    <sheet name="4_FICA_Offset_Model" sheetId="4" state="visible" r:id="rId4"/>
    <sheet name="5_Hospital_Detail" sheetId="5" state="visible" r:id="rId5"/>
    <sheet name="6_Sensitivity" sheetId="6" state="visible" r:id="rId6"/>
    <sheet name="7_Market_Benchmarks" sheetId="7" state="visible" r:id="rId7"/>
    <sheet name="8_Facility_Source_Data" sheetId="8" state="visible" r:id="rId8"/>
    <sheet name="9_Sources_Caveats" sheetId="9" state="visible" r:id="rId9"/>
    <sheet name="10_Run_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&quot;$&quot;#,##0"/>
    <numFmt numFmtId="165" formatCode="0.0%"/>
    <numFmt numFmtId="166" formatCode="&quot;$&quot;#,##0.00"/>
    <numFmt numFmtId="167" formatCode="0.0&quot;x&quot;"/>
    <numFmt numFmtId="168" formatCode="#,##0.0"/>
  </numFmts>
  <fonts count="13">
    <font>
      <name val="Calibri"/>
      <family val="2"/>
      <color theme="1"/>
      <sz val="11"/>
      <scheme val="minor"/>
    </font>
    <font>
      <name val="Calibri"/>
      <b val="1"/>
      <color rgb="000B2545"/>
      <sz val="18"/>
    </font>
    <font>
      <color rgb="006B7280"/>
      <sz val="10"/>
    </font>
    <font>
      <name val="Calibri"/>
      <b val="1"/>
      <color rgb="00FFFFFF"/>
      <sz val="12"/>
    </font>
    <font>
      <name val="Calibri"/>
      <color rgb="006B7280"/>
      <sz val="11"/>
    </font>
    <font>
      <name val="Calibri"/>
      <b val="1"/>
      <color rgb="001A2230"/>
      <sz val="11"/>
    </font>
    <font>
      <b val="1"/>
      <color rgb="000B2545"/>
      <sz val="14"/>
    </font>
    <font>
      <i val="1"/>
      <color rgb="000B2545"/>
      <sz val="11"/>
    </font>
    <font>
      <name val="Calibri"/>
      <color rgb="001A2230"/>
      <sz val="11"/>
    </font>
    <font>
      <i val="1"/>
      <color rgb="006B5824"/>
      <sz val="10"/>
    </font>
    <font>
      <i val="1"/>
      <color rgb="006B7280"/>
      <sz val="10"/>
    </font>
    <font>
      <sz val="11"/>
    </font>
    <font>
      <b val="1"/>
      <color rgb="000B2545"/>
    </font>
  </fonts>
  <fills count="6">
    <fill>
      <patternFill/>
    </fill>
    <fill>
      <patternFill patternType="gray125"/>
    </fill>
    <fill>
      <patternFill patternType="solid">
        <fgColor rgb="000B2545"/>
      </patternFill>
    </fill>
    <fill>
      <patternFill patternType="solid">
        <fgColor rgb="001E6091"/>
      </patternFill>
    </fill>
    <fill>
      <patternFill patternType="solid">
        <fgColor rgb="00C97A3B"/>
      </patternFill>
    </fill>
    <fill>
      <patternFill patternType="solid">
        <fgColor rgb="00FFF8E6"/>
      </patternFill>
    </fill>
  </fills>
  <borders count="6">
    <border>
      <left/>
      <right/>
      <top/>
      <bottom/>
      <diagonal/>
    </border>
    <border>
      <left style="thin">
        <color rgb="00E2E6EE"/>
      </left>
      <right style="thin">
        <color rgb="00E2E6EE"/>
      </right>
      <top style="thin">
        <color rgb="00E2E6EE"/>
      </top>
      <bottom style="thin">
        <color rgb="00E2E6EE"/>
      </bottom>
    </border>
    <border>
      <left/>
      <right/>
      <top style="thin">
        <color rgb="00E2E6EE"/>
      </top>
      <bottom/>
      <diagonal/>
    </border>
    <border>
      <left/>
      <right style="thin">
        <color rgb="00E2E6EE"/>
      </right>
      <top style="thin">
        <color rgb="00E2E6EE"/>
      </top>
      <bottom/>
      <diagonal/>
    </border>
    <border>
      <left/>
      <right/>
      <top style="thin">
        <color rgb="00E2E6EE"/>
      </top>
      <bottom style="thin">
        <color rgb="00E2E6EE"/>
      </bottom>
      <diagonal/>
    </border>
    <border>
      <left/>
      <right style="thin">
        <color rgb="00E2E6EE"/>
      </right>
      <top style="thin">
        <color rgb="00E2E6EE"/>
      </top>
      <bottom style="thin">
        <color rgb="00E2E6EE"/>
      </bottom>
      <diagonal/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0" borderId="0" applyAlignment="1" pivotButton="0" quotePrefix="0" xfId="0">
      <alignment horizontal="left" vertical="center"/>
    </xf>
    <xf numFmtId="164" fontId="6" fillId="0" borderId="0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0" fontId="7" fillId="0" borderId="0" pivotButton="0" quotePrefix="0" xfId="0"/>
    <xf numFmtId="0" fontId="3" fillId="3" borderId="1" applyAlignment="1" pivotButton="0" quotePrefix="0" xfId="0">
      <alignment horizontal="left" vertical="center"/>
    </xf>
    <xf numFmtId="3" fontId="8" fillId="0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164" fontId="5" fillId="0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  <xf numFmtId="0" fontId="3" fillId="4" borderId="1" applyAlignment="1" pivotButton="0" quotePrefix="0" xfId="0">
      <alignment horizontal="left" vertical="center"/>
    </xf>
    <xf numFmtId="0" fontId="9" fillId="5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right" vertical="center"/>
    </xf>
    <xf numFmtId="0" fontId="10" fillId="0" borderId="0" pivotButton="0" quotePrefix="0" xfId="0"/>
    <xf numFmtId="0" fontId="11" fillId="0" borderId="0" applyAlignment="1" pivotButton="0" quotePrefix="0" xfId="0">
      <alignment horizontal="left" vertical="top" wrapText="1"/>
    </xf>
    <xf numFmtId="10" fontId="8" fillId="0" borderId="0" applyAlignment="1" pivotButton="0" quotePrefix="0" xfId="0">
      <alignment horizontal="right" vertical="center"/>
    </xf>
    <xf numFmtId="168" fontId="0" fillId="0" borderId="0" pivotButton="0" quotePrefix="0" xfId="0"/>
    <xf numFmtId="166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2" fontId="0" fillId="0" borderId="0" pivotButton="0" quotePrefix="0" xfId="0"/>
    <xf numFmtId="0" fontId="12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vertical="top" wrapText="1"/>
    </xf>
    <xf numFmtId="0" fontId="8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7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32" customHeight="1">
      <c r="A1" s="1" t="inlineStr">
        <is>
          <t>Florence Workforce Restoration — Health System: Ascension</t>
        </is>
      </c>
    </row>
    <row r="2">
      <c r="A2" s="2" t="inlineStr">
        <is>
          <t>Scope: 54 hospitals in 8 states (FL, IN, KS, MI, OK...)  ·  Pricing mode: fica_offset_target  ·  Term: 24 months  ·  Report date: 2026-05-28  ·  Calibration: v0.5-methodology-v2-2026-05</t>
        </is>
      </c>
    </row>
    <row r="4">
      <c r="A4" s="3" t="inlineStr">
        <is>
          <t>PRIMARY BUYER-FACING NUMBERS</t>
        </is>
      </c>
      <c r="B4" s="4" t="n"/>
      <c r="C4" s="4" t="n"/>
      <c r="D4" s="4" t="n"/>
      <c r="E4" s="4" t="n"/>
      <c r="F4" s="5" t="n"/>
    </row>
    <row r="5">
      <c r="A5" s="6" t="inlineStr">
        <is>
          <t>①  Florence Monthly Fee / RN</t>
        </is>
      </c>
      <c r="B5" s="7" t="n">
        <v>940.9959000000002</v>
      </c>
    </row>
    <row r="6">
      <c r="A6" s="6" t="inlineStr">
        <is>
          <t>②  Employer FICA Savings / RN/mo</t>
        </is>
      </c>
      <c r="B6" s="7" t="n">
        <v>470.4979500000001</v>
      </c>
    </row>
    <row r="7">
      <c r="A7" s="6" t="inlineStr">
        <is>
          <t>③  FICA-Adjusted Effective Cost / RN/mo</t>
        </is>
      </c>
      <c r="B7" s="7" t="n">
        <v>470.4979500000001</v>
      </c>
    </row>
    <row r="8">
      <c r="A8" s="6" t="inlineStr">
        <is>
          <t>④  Actual FICA Offset %</t>
        </is>
      </c>
      <c r="B8" s="8" t="n">
        <v>0.5</v>
      </c>
    </row>
    <row r="9">
      <c r="A9" s="6" t="inlineStr">
        <is>
          <t>⑤  Net Monthly Savings / RN</t>
        </is>
      </c>
      <c r="B9" s="7" t="n">
        <v>4718.5242</v>
      </c>
    </row>
    <row r="11">
      <c r="A11" s="6" t="inlineStr">
        <is>
          <t>Target offset achievement</t>
        </is>
      </c>
      <c r="B11" s="9" t="inlineStr">
        <is>
          <t>Target 50%  |  Actual median 50.0%  |  Exact target</t>
        </is>
      </c>
    </row>
    <row r="13">
      <c r="A13" s="10" t="inlineStr">
        <is>
          <t>RN NEED &amp; TERM</t>
        </is>
      </c>
      <c r="B13" s="4" t="n"/>
      <c r="C13" s="4" t="n"/>
      <c r="D13" s="4" t="n"/>
      <c r="E13" s="4" t="n"/>
      <c r="F13" s="5" t="n"/>
    </row>
    <row r="14">
      <c r="A14" s="6" t="inlineStr">
        <is>
          <t>Hospitals in scope</t>
        </is>
      </c>
      <c r="B14" s="11" t="n">
        <v>54</v>
      </c>
    </row>
    <row r="15">
      <c r="A15" s="6" t="inlineStr">
        <is>
          <t>Hospitals quotable</t>
        </is>
      </c>
      <c r="B15" s="11" t="n">
        <v>42</v>
      </c>
    </row>
    <row r="16">
      <c r="A16" s="6" t="inlineStr">
        <is>
          <t>Hospitals flagged for manual review</t>
        </is>
      </c>
      <c r="B16" s="11" t="n">
        <v>12</v>
      </c>
    </row>
    <row r="17">
      <c r="A17" s="6" t="inlineStr">
        <is>
          <t>Total Covered RN Need (FTE)</t>
        </is>
      </c>
      <c r="B17" s="11" t="n">
        <v>1692</v>
      </c>
    </row>
    <row r="18">
      <c r="A18" s="6" t="inlineStr">
        <is>
          <t>Monthly hours per covered RN</t>
        </is>
      </c>
      <c r="B18" s="11" t="n">
        <v>156</v>
      </c>
    </row>
    <row r="19">
      <c r="A19" s="6" t="inlineStr">
        <is>
          <t>Annual hours per covered RN</t>
        </is>
      </c>
      <c r="B19" s="11" t="n">
        <v>1872</v>
      </c>
    </row>
    <row r="20">
      <c r="A20" s="6" t="inlineStr">
        <is>
          <t>Contract term (months)</t>
        </is>
      </c>
      <c r="B20" s="11" t="n">
        <v>24</v>
      </c>
    </row>
    <row r="21">
      <c r="A21" s="6" t="inlineStr">
        <is>
          <t>Cohort visa-exempt share (η)</t>
        </is>
      </c>
      <c r="B21" s="11" t="n">
        <v>1</v>
      </c>
    </row>
    <row r="22">
      <c r="A22" s="6" t="inlineStr">
        <is>
          <t>FICA-eligible months per nurse</t>
        </is>
      </c>
      <c r="B22" s="11" t="n">
        <v>24</v>
      </c>
    </row>
    <row r="24">
      <c r="A24" s="3" t="inlineStr">
        <is>
          <t>MONTHLY BRIDGE (per RN)</t>
        </is>
      </c>
      <c r="B24" s="4" t="n"/>
      <c r="C24" s="4" t="n"/>
      <c r="D24" s="4" t="n"/>
      <c r="E24" s="4" t="n"/>
      <c r="F24" s="5" t="n"/>
    </row>
    <row r="25">
      <c r="A25" s="6" t="inlineStr">
        <is>
          <t>Florence Monthly Fee (gross)</t>
        </is>
      </c>
      <c r="B25" s="12" t="n">
        <v>940.9959000000002</v>
      </c>
    </row>
    <row r="26">
      <c r="A26" s="6" t="inlineStr">
        <is>
          <t>− Employer FICA Offset</t>
        </is>
      </c>
      <c r="B26" s="12" t="n">
        <v>-470.4979500000001</v>
      </c>
    </row>
    <row r="27">
      <c r="A27" s="6">
        <f> FICA-Adjusted Effective Cost</f>
        <v/>
      </c>
      <c r="B27" s="12" t="n">
        <v>470.4979500000001</v>
      </c>
    </row>
    <row r="28">
      <c r="A28" s="6" t="inlineStr">
        <is>
          <t>+ Agency Premium Avoided</t>
        </is>
      </c>
      <c r="B28" s="12" t="n">
        <v>3342.09380501849</v>
      </c>
    </row>
    <row r="29">
      <c r="A29" s="6">
        <f> Net Monthly Savings per RN</f>
        <v/>
      </c>
      <c r="B29" s="13" t="n">
        <v>4718.5242</v>
      </c>
    </row>
    <row r="32">
      <c r="A32" s="3" t="inlineStr">
        <is>
          <t>PORTFOLIO TOTALS (42 quotable hospitals)</t>
        </is>
      </c>
      <c r="B32" s="4" t="n"/>
      <c r="C32" s="4" t="n"/>
      <c r="D32" s="4" t="n"/>
      <c r="E32" s="4" t="n"/>
      <c r="F32" s="5" t="n"/>
    </row>
    <row r="33">
      <c r="A33" s="6" t="inlineStr">
        <is>
          <t>Total monthly Florence billings</t>
        </is>
      </c>
      <c r="B33" s="14" t="n">
        <v>1687006.403909459</v>
      </c>
    </row>
    <row r="34">
      <c r="A34" s="6" t="inlineStr">
        <is>
          <t>Total monthly FICA offset to hospitals</t>
        </is>
      </c>
      <c r="B34" s="14" t="n">
        <v>843503.2019547293</v>
      </c>
    </row>
    <row r="35">
      <c r="A35" s="6" t="inlineStr">
        <is>
          <t>Total monthly FICA-adjusted effective cost</t>
        </is>
      </c>
      <c r="B35" s="14" t="n">
        <v>843503.2019547293</v>
      </c>
    </row>
    <row r="36">
      <c r="A36" s="6" t="inlineStr">
        <is>
          <t>Total monthly agency premium avoided</t>
        </is>
      </c>
      <c r="B36" s="14" t="n">
        <v>5656493.764993794</v>
      </c>
    </row>
    <row r="37">
      <c r="A37" s="6" t="inlineStr">
        <is>
          <t>Total monthly net hospital savings</t>
        </is>
      </c>
      <c r="B37" s="14" t="n">
        <v>4812990.563039065</v>
      </c>
    </row>
    <row r="38">
      <c r="A38" s="6" t="inlineStr">
        <is>
          <t>Term (24mo) Florence fee</t>
        </is>
      </c>
      <c r="B38" s="14" t="n">
        <v>40488153.693827</v>
      </c>
    </row>
    <row r="39">
      <c r="A39" s="6" t="inlineStr">
        <is>
          <t>Term (24mo) Hospital net savings</t>
        </is>
      </c>
      <c r="B39" s="14" t="n">
        <v>115511773.5129376</v>
      </c>
    </row>
    <row r="40">
      <c r="A40" s="6" t="inlineStr">
        <is>
          <t>Savings : Fee ratio</t>
        </is>
      </c>
      <c r="B40" s="15" t="n">
        <v>2.852977055620815</v>
      </c>
    </row>
    <row r="43">
      <c r="A43" s="16" t="inlineStr">
        <is>
          <t>REQUIRED COMPLIANCE STATEMENT</t>
        </is>
      </c>
      <c r="B43" s="4" t="n"/>
      <c r="C43" s="4" t="n"/>
      <c r="D43" s="4" t="n"/>
      <c r="E43" s="4" t="n"/>
      <c r="F43" s="5" t="n"/>
    </row>
    <row r="44" ht="70" customHeight="1">
      <c r="A44" s="17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45"/>
    <row r="46"/>
    <row r="47"/>
  </sheetData>
  <mergeCells count="22">
    <mergeCell ref="B7:C7"/>
    <mergeCell ref="A44:F47"/>
    <mergeCell ref="B39:C39"/>
    <mergeCell ref="A2:F2"/>
    <mergeCell ref="B11:F11"/>
    <mergeCell ref="A32:F32"/>
    <mergeCell ref="A4:F4"/>
    <mergeCell ref="B8:C8"/>
    <mergeCell ref="A43:F43"/>
    <mergeCell ref="B38:C38"/>
    <mergeCell ref="A13:F13"/>
    <mergeCell ref="B34:C34"/>
    <mergeCell ref="B37:C37"/>
    <mergeCell ref="B40:C40"/>
    <mergeCell ref="B9:C9"/>
    <mergeCell ref="A24:F24"/>
    <mergeCell ref="B6:C6"/>
    <mergeCell ref="B33:C33"/>
    <mergeCell ref="B5:C5"/>
    <mergeCell ref="A1:F1"/>
    <mergeCell ref="B36:C36"/>
    <mergeCell ref="B35:C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40" customWidth="1" min="1" max="1"/>
    <col width="18" customWidth="1" min="2" max="2"/>
    <col width="50" customWidth="1" min="3" max="3"/>
  </cols>
  <sheetData>
    <row r="1">
      <c r="A1" s="1" t="inlineStr">
        <is>
          <t>Pricing inputs &amp; assumptions (editable copy of run-time calibration)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Reference</t>
        </is>
      </c>
    </row>
    <row r="4">
      <c r="A4" s="6" t="inlineStr">
        <is>
          <t>Pricing mode</t>
        </is>
      </c>
      <c r="B4" s="18" t="inlineStr">
        <is>
          <t>fica_offset_target</t>
        </is>
      </c>
      <c r="C4" s="19" t="inlineStr">
        <is>
          <t>v2 §6</t>
        </is>
      </c>
    </row>
    <row r="5">
      <c r="A5" s="6" t="inlineStr">
        <is>
          <t>Target FICA offset %</t>
        </is>
      </c>
      <c r="B5" s="18" t="n">
        <v>0.5</v>
      </c>
      <c r="C5" s="19" t="inlineStr">
        <is>
          <t>v2 §6.2 (default 50%)</t>
        </is>
      </c>
    </row>
    <row r="6">
      <c r="A6" s="6" t="inlineStr">
        <is>
          <t>Price floor ($/RN/month)</t>
        </is>
      </c>
      <c r="B6" s="18" t="n">
        <v>750</v>
      </c>
      <c r="C6" s="19" t="inlineStr">
        <is>
          <t>v2 §6.3 — lowered to $750 covers 99% of US</t>
        </is>
      </c>
    </row>
    <row r="7">
      <c r="A7" s="6" t="inlineStr">
        <is>
          <t>Price ceiling ($/RN/month)</t>
        </is>
      </c>
      <c r="B7" s="18" t="n">
        <v>2000</v>
      </c>
      <c r="C7" s="19" t="inlineStr">
        <is>
          <t>v2 §6.3 (default $2,000)</t>
        </is>
      </c>
    </row>
    <row r="8">
      <c r="A8" s="6" t="inlineStr">
        <is>
          <t>Standard fee ($/RN/month)</t>
        </is>
      </c>
      <c r="B8" s="18" t="n">
        <v>1750</v>
      </c>
      <c r="C8" s="19" t="inlineStr">
        <is>
          <t>v2 §6.1 (default $1,750)</t>
        </is>
      </c>
    </row>
    <row r="9">
      <c r="A9" s="6" t="inlineStr">
        <is>
          <t>Term (months)</t>
        </is>
      </c>
      <c r="B9" s="18" t="n">
        <v>24</v>
      </c>
      <c r="C9" s="19" t="inlineStr">
        <is>
          <t>v2 §4 (default 24)</t>
        </is>
      </c>
    </row>
    <row r="10">
      <c r="A10" s="6" t="inlineStr">
        <is>
          <t>Annual hours per covered RN</t>
        </is>
      </c>
      <c r="B10" s="18" t="n">
        <v>1872</v>
      </c>
      <c r="C10" s="19" t="inlineStr">
        <is>
          <t>v2 §4 (1,872)</t>
        </is>
      </c>
    </row>
    <row r="11">
      <c r="A11" s="6" t="inlineStr">
        <is>
          <t>Monthly hours per covered RN</t>
        </is>
      </c>
      <c r="B11" s="18" t="n">
        <v>156</v>
      </c>
      <c r="C11" s="19" t="inlineStr">
        <is>
          <t>v2 §4 (156)</t>
        </is>
      </c>
    </row>
    <row r="12">
      <c r="A12" s="6" t="inlineStr">
        <is>
          <t>RN share of contracted labor</t>
        </is>
      </c>
      <c r="B12" s="18" t="n">
        <v>0.8</v>
      </c>
      <c r="C12" s="19" t="inlineStr">
        <is>
          <t>v2 §5.3 (default 80%)</t>
        </is>
      </c>
    </row>
    <row r="13">
      <c r="A13" s="6" t="inlineStr">
        <is>
          <t>Coverage / Displacement target</t>
        </is>
      </c>
      <c r="B13" s="18" t="n">
        <v>0.9</v>
      </c>
      <c r="C13" s="19" t="inlineStr">
        <is>
          <t>v2 §5.3 (default 90%)</t>
        </is>
      </c>
    </row>
    <row r="14">
      <c r="A14" s="6" t="inlineStr">
        <is>
          <t>Agency displacement factor</t>
        </is>
      </c>
      <c r="B14" s="18" t="n">
        <v>1</v>
      </c>
      <c r="C14" s="19" t="inlineStr">
        <is>
          <t>v2 §5.4 (default 100%)</t>
        </is>
      </c>
    </row>
    <row r="15">
      <c r="A15" s="6" t="inlineStr">
        <is>
          <t>Cohort visa-exempt share η</t>
        </is>
      </c>
      <c r="B15" s="18" t="n">
        <v>1</v>
      </c>
      <c r="C15" s="19" t="inlineStr">
        <is>
          <t>F-1 default: 1.0 per IRC §3121(b)(19)</t>
        </is>
      </c>
    </row>
    <row r="16">
      <c r="A16" s="6" t="inlineStr">
        <is>
          <t>FICA-eligible months (per nurse)</t>
        </is>
      </c>
      <c r="B16" s="18" t="n">
        <v>24</v>
      </c>
      <c r="C16" s="19" t="inlineStr">
        <is>
          <t>F-1 NRA period (up to ~5 calendar years)</t>
        </is>
      </c>
    </row>
    <row r="17">
      <c r="A17" s="6" t="inlineStr">
        <is>
          <t>Immigration add-on enabled</t>
        </is>
      </c>
      <c r="B17" s="18" t="b">
        <v>0</v>
      </c>
      <c r="C17" s="19" t="inlineStr">
        <is>
          <t>v2 §6.5 ($5K / 24 mo)</t>
        </is>
      </c>
    </row>
    <row r="18">
      <c r="A18" s="6" t="inlineStr">
        <is>
          <t>Immigration add-on monthly</t>
        </is>
      </c>
      <c r="B18" s="18" t="n">
        <v>0</v>
      </c>
      <c r="C18" s="19" t="inlineStr">
        <is>
          <t>$208.33/RN/mo when enabled</t>
        </is>
      </c>
    </row>
    <row r="19">
      <c r="A19" s="6" t="inlineStr">
        <is>
          <t>Direct partner share</t>
        </is>
      </c>
      <c r="B19" s="18" t="n">
        <v>0</v>
      </c>
      <c r="C19" s="19" t="inlineStr">
        <is>
          <t>v2 — 0% direct enterprise</t>
        </is>
      </c>
    </row>
    <row r="20">
      <c r="A20" s="6" t="inlineStr">
        <is>
          <t>AMN partner share</t>
        </is>
      </c>
      <c r="B20" s="18" t="n">
        <v>0.2</v>
      </c>
      <c r="C20" s="19" t="inlineStr">
        <is>
          <t>v2 — 20% via AMN wholesale</t>
        </is>
      </c>
    </row>
    <row r="21">
      <c r="A21" s="6" t="inlineStr">
        <is>
          <t>SS wage base</t>
        </is>
      </c>
      <c r="B21" s="18" t="n">
        <v>184500</v>
      </c>
      <c r="C21" s="19" t="inlineStr">
        <is>
          <t>IRS Rev. Proc. annual</t>
        </is>
      </c>
    </row>
    <row r="22">
      <c r="A22" s="6" t="inlineStr">
        <is>
          <t>Calibration version</t>
        </is>
      </c>
      <c r="B22" s="18" t="inlineStr">
        <is>
          <t>v0.5-methodology-v2-2026-05</t>
        </is>
      </c>
      <c r="C22" s="19" t="inlineStr">
        <is>
          <t>Engine semantic version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Pricing mode in effect: fica_offset_target</t>
        </is>
      </c>
    </row>
    <row r="3">
      <c r="A3" s="10" t="inlineStr">
        <is>
          <t>Explanation</t>
        </is>
      </c>
      <c r="B3" s="5" t="n"/>
    </row>
    <row r="4" ht="80" customHeight="1">
      <c r="A4" s="20" t="inlineStr">
        <is>
          <t>Suggested fee per RN per month = Employer FICA Savings ÷ target_offset_pct. With target = 50%, the suggested fee equals 2.0× the employer FICA savings. Final fee clamped to $750 ≤ fee ≤ $2,000. When the cohort is FICA-eligible (F-1 default), this anchors Florence's price to a verifiable payroll-tax saving on the customer's books.</t>
        </is>
      </c>
    </row>
    <row r="5"/>
    <row r="6"/>
    <row r="7"/>
  </sheetData>
  <mergeCells count="3">
    <mergeCell ref="A4:B7"/>
    <mergeCell ref="A3:B3"/>
    <mergeCell ref="A1:B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50" customWidth="1" min="3" max="3"/>
  </cols>
  <sheetData>
    <row r="1">
      <c r="A1" s="1" t="inlineStr">
        <is>
          <t>Employer FICA Offset Model (per RN)</t>
        </is>
      </c>
    </row>
    <row r="3">
      <c r="A3" s="3" t="inlineStr">
        <is>
          <t>Parameter</t>
        </is>
      </c>
      <c r="B3" s="3" t="inlineStr">
        <is>
          <t>Value</t>
        </is>
      </c>
      <c r="C3" s="3" t="inlineStr">
        <is>
          <t>Source / Note</t>
        </is>
      </c>
    </row>
    <row r="4">
      <c r="A4" s="6" t="inlineStr">
        <is>
          <t>Eligible annual wages (median)</t>
        </is>
      </c>
      <c r="B4" s="12" t="n">
        <v>97265.14200000001</v>
      </c>
      <c r="C4" s="19" t="inlineStr">
        <is>
          <t>Hourly wage × 1,872 (v2 §5.6 hourly basis)</t>
        </is>
      </c>
    </row>
    <row r="5">
      <c r="A5" s="6" t="inlineStr">
        <is>
          <t>Social Security wage base</t>
        </is>
      </c>
      <c r="B5" s="18" t="n">
        <v>184500</v>
      </c>
      <c r="C5" s="19" t="inlineStr">
        <is>
          <t>IRS 2026 Rev. Proc.</t>
        </is>
      </c>
    </row>
    <row r="6">
      <c r="A6" s="6" t="inlineStr">
        <is>
          <t>Taxable SS wages (cap-applied)</t>
        </is>
      </c>
      <c r="B6" s="12" t="n">
        <v>97265.14200000001</v>
      </c>
      <c r="C6" s="19">
        <f> MIN(wages, SS base)</f>
        <v/>
      </c>
    </row>
    <row r="7">
      <c r="A7" s="6" t="inlineStr">
        <is>
          <t>Employer SS tax rate</t>
        </is>
      </c>
      <c r="B7" s="21" t="n">
        <v>0.062</v>
      </c>
      <c r="C7" s="19" t="inlineStr">
        <is>
          <t>IRS — 6.2%</t>
        </is>
      </c>
    </row>
    <row r="8">
      <c r="A8" s="6" t="inlineStr">
        <is>
          <t>Employer Medicare rate</t>
        </is>
      </c>
      <c r="B8" s="21" t="n">
        <v>0.0145</v>
      </c>
      <c r="C8" s="19" t="inlineStr">
        <is>
          <t>IRS — 1.45%</t>
        </is>
      </c>
    </row>
    <row r="9">
      <c r="A9" s="6" t="inlineStr">
        <is>
          <t>Employer SS savings (annual)</t>
        </is>
      </c>
      <c r="B9" s="12" t="n">
        <v>6030.438804</v>
      </c>
      <c r="C9" s="19" t="inlineStr">
        <is>
          <t>Per F-1 exempt RN</t>
        </is>
      </c>
    </row>
    <row r="10">
      <c r="A10" s="6" t="inlineStr">
        <is>
          <t>Employer Medicare savings (annual)</t>
        </is>
      </c>
      <c r="B10" s="12" t="n">
        <v>1410.344559</v>
      </c>
      <c r="C10" s="19" t="inlineStr">
        <is>
          <t>Per F-1 exempt RN</t>
        </is>
      </c>
    </row>
    <row r="11">
      <c r="A11" s="6" t="inlineStr">
        <is>
          <t>Annual employer FICA savings</t>
        </is>
      </c>
      <c r="B11" s="12" t="n">
        <v>7440.783363</v>
      </c>
      <c r="C11" s="19" t="inlineStr">
        <is>
          <t>Sum of above</t>
        </is>
      </c>
    </row>
    <row r="12">
      <c r="A12" s="6" t="inlineStr">
        <is>
          <t>Run-rate monthly savings</t>
        </is>
      </c>
      <c r="B12" s="12" t="n">
        <v>620.06528025</v>
      </c>
      <c r="C12" s="19" t="inlineStr">
        <is>
          <t>÷ 12</t>
        </is>
      </c>
    </row>
    <row r="13">
      <c r="A13" s="6" t="inlineStr">
        <is>
          <t>Cohort visa-exempt share η</t>
        </is>
      </c>
      <c r="B13" s="21" t="n">
        <v>1</v>
      </c>
      <c r="C13" s="19" t="inlineStr">
        <is>
          <t>F-1 confirmed default</t>
        </is>
      </c>
    </row>
    <row r="14">
      <c r="A14" s="6" t="inlineStr">
        <is>
          <t>FICA-eligible months</t>
        </is>
      </c>
      <c r="B14" s="18" t="n">
        <v>24</v>
      </c>
      <c r="C14" s="19" t="inlineStr">
        <is>
          <t>Per IRS NRA window</t>
        </is>
      </c>
    </row>
    <row r="15">
      <c r="A15" s="6" t="inlineStr">
        <is>
          <t>IRS source</t>
        </is>
      </c>
      <c r="B15" s="18" t="inlineStr">
        <is>
          <t>IRC §3121(b)(19) + IRS Pub 519</t>
        </is>
      </c>
      <c r="C15" s="19" t="inlineStr">
        <is>
          <t>https://www.irs.gov/individuals/international-taxpayers/foreign-student-liability-for-social-security-and-medicare-taxes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X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26" customWidth="1" min="5" max="5"/>
    <col width="12" customWidth="1" min="6" max="6"/>
    <col width="14" customWidth="1" min="7" max="7"/>
    <col width="12" customWidth="1" min="8" max="8"/>
    <col width="16" customWidth="1" min="9" max="9"/>
    <col width="16" customWidth="1" min="10" max="10"/>
    <col width="18" customWidth="1" min="11" max="11"/>
    <col width="22" customWidth="1" min="12" max="12"/>
    <col width="12" customWidth="1" min="13" max="13"/>
    <col width="18" customWidth="1" min="14" max="14"/>
    <col width="18" customWidth="1" min="15" max="15"/>
    <col width="16" customWidth="1" min="16" max="16"/>
    <col width="16" customWidth="1" min="17" max="17"/>
    <col width="22" customWidth="1" min="18" max="18"/>
    <col width="16" customWidth="1" min="19" max="19"/>
    <col width="16" customWidth="1" min="20" max="20"/>
    <col width="18" customWidth="1" min="21" max="21"/>
    <col width="10" customWidth="1" min="22" max="22"/>
    <col width="24" customWidth="1" min="23" max="23"/>
    <col width="12" customWidth="1" min="24" max="24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System</t>
        </is>
      </c>
      <c r="F1" s="3" t="inlineStr">
        <is>
          <t>RN Need (FTE)</t>
        </is>
      </c>
      <c r="G1" s="3" t="inlineStr">
        <is>
          <t>Loaded Staff $/hr</t>
        </is>
      </c>
      <c r="H1" s="3" t="inlineStr">
        <is>
          <t>Agency $/hr</t>
        </is>
      </c>
      <c r="I1" s="3" t="inlineStr">
        <is>
          <t>Agency Premium $/hr</t>
        </is>
      </c>
      <c r="J1" s="3" t="inlineStr">
        <is>
          <t>Florence $/RN/mo</t>
        </is>
      </c>
      <c r="K1" s="3" t="inlineStr">
        <is>
          <t>FICA Savings $/RN/mo</t>
        </is>
      </c>
      <c r="L1" s="3" t="inlineStr">
        <is>
          <t>FICA-Adj Effective $/RN/mo</t>
        </is>
      </c>
      <c r="M1" s="3" t="inlineStr">
        <is>
          <t>Actual Offset %</t>
        </is>
      </c>
      <c r="N1" s="3" t="inlineStr">
        <is>
          <t>Agency Avoided $/RN/mo</t>
        </is>
      </c>
      <c r="O1" s="3" t="inlineStr">
        <is>
          <t>Net Mo Savings $/RN</t>
        </is>
      </c>
      <c r="P1" s="3" t="inlineStr">
        <is>
          <t>Total Monthly Fee</t>
        </is>
      </c>
      <c r="Q1" s="3" t="inlineStr">
        <is>
          <t>Total Monthly FICA</t>
        </is>
      </c>
      <c r="R1" s="3" t="inlineStr">
        <is>
          <t>Total Monthly Net Savings</t>
        </is>
      </c>
      <c r="S1" s="3" t="inlineStr">
        <is>
          <t>Term Florence Fee</t>
        </is>
      </c>
      <c r="T1" s="3" t="inlineStr">
        <is>
          <t>Term Net Savings</t>
        </is>
      </c>
      <c r="U1" s="3" t="inlineStr">
        <is>
          <t>Constrained By</t>
        </is>
      </c>
      <c r="V1" s="3" t="inlineStr">
        <is>
          <t>Confidence</t>
        </is>
      </c>
      <c r="W1" s="3" t="inlineStr">
        <is>
          <t>Data Source</t>
        </is>
      </c>
      <c r="X1" s="3" t="inlineStr">
        <is>
          <t>Manual Review</t>
        </is>
      </c>
    </row>
    <row r="2">
      <c r="A2" t="inlineStr">
        <is>
          <t>100026</t>
        </is>
      </c>
      <c r="B2" t="inlineStr">
        <is>
          <t>ASCENSION SACRED HEART BAY</t>
        </is>
      </c>
      <c r="C2" t="inlineStr">
        <is>
          <t>PANAMA CITY</t>
        </is>
      </c>
      <c r="D2" t="inlineStr">
        <is>
          <t>FL</t>
        </is>
      </c>
      <c r="E2" t="inlineStr">
        <is>
          <t>Ascension</t>
        </is>
      </c>
      <c r="F2" s="22" t="n">
        <v>3.2</v>
      </c>
      <c r="G2" s="23" t="n">
        <v>75.99382499999999</v>
      </c>
      <c r="H2" s="23" t="n">
        <v>75.99382499999999</v>
      </c>
      <c r="I2" s="23" t="n">
        <v>0</v>
      </c>
      <c r="J2" s="24" t="n">
        <v>0</v>
      </c>
      <c r="K2" s="24" t="n">
        <v>716.6367</v>
      </c>
      <c r="L2" s="24" t="n">
        <v>-716.6367</v>
      </c>
      <c r="M2" s="25" t="n">
        <v>0</v>
      </c>
      <c r="N2" s="24" t="n">
        <v>0</v>
      </c>
      <c r="O2" s="24" t="n">
        <v>716.6367</v>
      </c>
      <c r="P2" s="24" t="n">
        <v>0</v>
      </c>
      <c r="Q2" s="24" t="n">
        <v>0</v>
      </c>
      <c r="R2" s="24" t="n">
        <v>0</v>
      </c>
      <c r="S2" s="24" t="n">
        <v>0</v>
      </c>
      <c r="T2" s="24" t="n">
        <v>0</v>
      </c>
      <c r="U2" t="inlineStr">
        <is>
          <t>manual_review</t>
        </is>
      </c>
      <c r="V2" s="22" t="n">
        <v>0.92</v>
      </c>
      <c r="W2" t="inlineStr">
        <is>
          <t>hcris_nmrc_agency_per_hospital</t>
        </is>
      </c>
      <c r="X2" t="b">
        <v>1</v>
      </c>
    </row>
    <row r="3">
      <c r="A3" t="inlineStr">
        <is>
          <t>100040</t>
        </is>
      </c>
      <c r="B3" t="inlineStr">
        <is>
          <t>ASCENSION ST VINCENT'S RIVERSIDE</t>
        </is>
      </c>
      <c r="C3" t="inlineStr">
        <is>
          <t>JACKSONVILLE</t>
        </is>
      </c>
      <c r="D3" t="inlineStr">
        <is>
          <t>FL</t>
        </is>
      </c>
      <c r="E3" t="inlineStr">
        <is>
          <t>Ascension</t>
        </is>
      </c>
      <c r="F3" s="22" t="n">
        <v>3.6</v>
      </c>
      <c r="G3" s="23" t="n">
        <v>49.4741</v>
      </c>
      <c r="H3" s="23" t="n">
        <v>71.06999999999999</v>
      </c>
      <c r="I3" s="23" t="n">
        <v>21.59589999999999</v>
      </c>
      <c r="J3" s="24" t="n">
        <v>940.3992000000002</v>
      </c>
      <c r="K3" s="24" t="n">
        <v>470.1996000000001</v>
      </c>
      <c r="L3" s="24" t="n">
        <v>470.1996000000001</v>
      </c>
      <c r="M3" s="25" t="n">
        <v>0.5</v>
      </c>
      <c r="N3" s="24" t="n">
        <v>3368.960399999999</v>
      </c>
      <c r="O3" s="24" t="n">
        <v>2898.760799999999</v>
      </c>
      <c r="P3" s="24" t="n">
        <v>3408.13918379063</v>
      </c>
      <c r="Q3" s="24" t="n">
        <v>1704.069591895315</v>
      </c>
      <c r="R3" s="24" t="n">
        <v>10505.51751523849</v>
      </c>
      <c r="S3" s="24" t="n">
        <v>81795.34041097511</v>
      </c>
      <c r="T3" s="24" t="n">
        <v>252132.4203657239</v>
      </c>
      <c r="U3" t="inlineStr">
        <is>
          <t>target</t>
        </is>
      </c>
      <c r="V3" s="22" t="n">
        <v>0.92</v>
      </c>
      <c r="W3" t="inlineStr">
        <is>
          <t>hcris_nmrc_agency_per_hospital</t>
        </is>
      </c>
      <c r="X3" t="b">
        <v>0</v>
      </c>
    </row>
    <row r="4">
      <c r="A4" t="inlineStr">
        <is>
          <t>100307</t>
        </is>
      </c>
      <c r="B4" t="inlineStr">
        <is>
          <t>ASCENSION ST VINCENT'S SOUTHSIDE</t>
        </is>
      </c>
      <c r="C4" t="inlineStr">
        <is>
          <t>JACKSONVILLE</t>
        </is>
      </c>
      <c r="D4" t="inlineStr">
        <is>
          <t>FL</t>
        </is>
      </c>
      <c r="E4" t="inlineStr">
        <is>
          <t>Ascension</t>
        </is>
      </c>
      <c r="F4" s="22" t="n">
        <v>1.5</v>
      </c>
      <c r="G4" s="23" t="n">
        <v>48.9341</v>
      </c>
      <c r="H4" s="23" t="n">
        <v>78.33</v>
      </c>
      <c r="I4" s="23" t="n">
        <v>29.3959</v>
      </c>
      <c r="J4" s="24" t="n">
        <v>940.3992000000002</v>
      </c>
      <c r="K4" s="24" t="n">
        <v>470.1996000000001</v>
      </c>
      <c r="L4" s="24" t="n">
        <v>470.1996000000001</v>
      </c>
      <c r="M4" s="25" t="n">
        <v>0.5</v>
      </c>
      <c r="N4" s="24" t="n">
        <v>4585.760399999999</v>
      </c>
      <c r="O4" s="24" t="n">
        <v>4115.560799999999</v>
      </c>
      <c r="P4" s="24" t="n">
        <v>1444.93483615473</v>
      </c>
      <c r="Q4" s="24" t="n">
        <v>722.4674180773651</v>
      </c>
      <c r="R4" s="24" t="n">
        <v>6323.609346150899</v>
      </c>
      <c r="S4" s="24" t="n">
        <v>34678.43606771353</v>
      </c>
      <c r="T4" s="24" t="n">
        <v>151766.6243076216</v>
      </c>
      <c r="U4" t="inlineStr">
        <is>
          <t>target</t>
        </is>
      </c>
      <c r="V4" s="22" t="n">
        <v>0.92</v>
      </c>
      <c r="W4" t="inlineStr">
        <is>
          <t>hcris_nmrc_agency_per_hospital</t>
        </is>
      </c>
      <c r="X4" t="b">
        <v>0</v>
      </c>
    </row>
    <row r="5">
      <c r="A5" t="inlineStr">
        <is>
          <t>100313</t>
        </is>
      </c>
      <c r="B5" t="inlineStr">
        <is>
          <t>ASCENSION SACRED HEART GULF</t>
        </is>
      </c>
      <c r="C5" t="inlineStr">
        <is>
          <t>PORT SAINT JOE</t>
        </is>
      </c>
      <c r="D5" t="inlineStr">
        <is>
          <t>FL</t>
        </is>
      </c>
      <c r="E5" t="inlineStr">
        <is>
          <t>Ascension</t>
        </is>
      </c>
      <c r="F5" s="22" t="n">
        <v>19.9</v>
      </c>
      <c r="G5" s="23" t="n">
        <v>79.375235</v>
      </c>
      <c r="H5" s="23" t="n">
        <v>79.375235</v>
      </c>
      <c r="I5" s="23" t="n">
        <v>0</v>
      </c>
      <c r="J5" s="24" t="n">
        <v>0</v>
      </c>
      <c r="K5" s="24" t="n">
        <v>763.65666</v>
      </c>
      <c r="L5" s="24" t="n">
        <v>-763.65666</v>
      </c>
      <c r="M5" s="25" t="n">
        <v>0</v>
      </c>
      <c r="N5" s="24" t="n">
        <v>0</v>
      </c>
      <c r="O5" s="24" t="n">
        <v>763.65666</v>
      </c>
      <c r="P5" s="24" t="n">
        <v>0</v>
      </c>
      <c r="Q5" s="24" t="n">
        <v>0</v>
      </c>
      <c r="R5" s="24" t="n">
        <v>0</v>
      </c>
      <c r="S5" s="24" t="n">
        <v>0</v>
      </c>
      <c r="T5" s="24" t="n">
        <v>0</v>
      </c>
      <c r="U5" t="inlineStr">
        <is>
          <t>manual_review</t>
        </is>
      </c>
      <c r="V5" s="22" t="n">
        <v>0.92</v>
      </c>
      <c r="W5" t="inlineStr">
        <is>
          <t>hcris_nmrc_agency_per_hospital</t>
        </is>
      </c>
      <c r="X5" t="b">
        <v>1</v>
      </c>
    </row>
    <row r="6">
      <c r="A6" t="inlineStr">
        <is>
          <t>100321</t>
        </is>
      </c>
      <c r="B6" t="inlineStr">
        <is>
          <t>ASCENSION ST VINCENT'S CLAY COUNTY</t>
        </is>
      </c>
      <c r="C6" t="inlineStr">
        <is>
          <t>MIDDLEBURG</t>
        </is>
      </c>
      <c r="D6" t="inlineStr">
        <is>
          <t>FL</t>
        </is>
      </c>
      <c r="E6" t="inlineStr">
        <is>
          <t>Ascension</t>
        </is>
      </c>
      <c r="F6" s="22" t="n">
        <v>3</v>
      </c>
      <c r="G6" s="23" t="n">
        <v>51.0241</v>
      </c>
      <c r="H6" s="23" t="n">
        <v>72.56999999999999</v>
      </c>
      <c r="I6" s="23" t="n">
        <v>21.5459</v>
      </c>
      <c r="J6" s="24" t="n">
        <v>940.3992000000002</v>
      </c>
      <c r="K6" s="24" t="n">
        <v>470.1996000000001</v>
      </c>
      <c r="L6" s="24" t="n">
        <v>470.1996000000001</v>
      </c>
      <c r="M6" s="25" t="n">
        <v>0.5</v>
      </c>
      <c r="N6" s="24" t="n">
        <v>3361.160399999999</v>
      </c>
      <c r="O6" s="24" t="n">
        <v>2890.960799999999</v>
      </c>
      <c r="P6" s="24" t="n">
        <v>2863.836087804879</v>
      </c>
      <c r="Q6" s="24" t="n">
        <v>1431.91804390244</v>
      </c>
      <c r="R6" s="24" t="n">
        <v>8803.960985365851</v>
      </c>
      <c r="S6" s="24" t="n">
        <v>68732.06610731709</v>
      </c>
      <c r="T6" s="24" t="n">
        <v>211295.0636487805</v>
      </c>
      <c r="U6" t="inlineStr">
        <is>
          <t>target</t>
        </is>
      </c>
      <c r="V6" s="22" t="n">
        <v>0.92</v>
      </c>
      <c r="W6" t="inlineStr">
        <is>
          <t>hcris_nmrc_agency_per_hospital</t>
        </is>
      </c>
      <c r="X6" t="b">
        <v>0</v>
      </c>
    </row>
    <row r="7">
      <c r="A7" t="inlineStr">
        <is>
          <t>100361</t>
        </is>
      </c>
      <c r="B7" t="inlineStr">
        <is>
          <t>ASCENSION ST VINCENT'S ST JOHNS COUNTY</t>
        </is>
      </c>
      <c r="C7" t="inlineStr">
        <is>
          <t>ST. JOHNS</t>
        </is>
      </c>
      <c r="D7" t="inlineStr">
        <is>
          <t>FL</t>
        </is>
      </c>
      <c r="E7" t="inlineStr">
        <is>
          <t>Ascension</t>
        </is>
      </c>
      <c r="F7" s="22" t="n">
        <v>62.3</v>
      </c>
      <c r="G7" s="23" t="n">
        <v>49.5741</v>
      </c>
      <c r="H7" s="23" t="n">
        <v>92.45</v>
      </c>
      <c r="I7" s="23" t="n">
        <v>42.8759</v>
      </c>
      <c r="J7" s="24" t="n">
        <v>940.3992000000002</v>
      </c>
      <c r="K7" s="24" t="n">
        <v>470.1996000000001</v>
      </c>
      <c r="L7" s="24" t="n">
        <v>470.1996000000001</v>
      </c>
      <c r="M7" s="25" t="n">
        <v>0.5</v>
      </c>
      <c r="N7" s="24" t="n">
        <v>6688.6404</v>
      </c>
      <c r="O7" s="24" t="n">
        <v>6218.4408</v>
      </c>
      <c r="P7" s="24" t="n">
        <v>58586.87016000001</v>
      </c>
      <c r="Q7" s="24" t="n">
        <v>29293.43508</v>
      </c>
      <c r="R7" s="24" t="n">
        <v>387408.86184</v>
      </c>
      <c r="S7" s="24" t="n">
        <v>1406084.88384</v>
      </c>
      <c r="T7" s="24" t="n">
        <v>9297812.68416</v>
      </c>
      <c r="U7" t="inlineStr">
        <is>
          <t>target</t>
        </is>
      </c>
      <c r="V7" s="22" t="n">
        <v>0.85</v>
      </c>
      <c r="W7" t="inlineStr">
        <is>
          <t>hcris_derived_with_state_agency</t>
        </is>
      </c>
      <c r="X7" t="b">
        <v>0</v>
      </c>
    </row>
    <row r="8">
      <c r="A8" t="inlineStr">
        <is>
          <t>150010</t>
        </is>
      </c>
      <c r="B8" t="inlineStr">
        <is>
          <t>ASCENSION ST VINCENT KOKOMO</t>
        </is>
      </c>
      <c r="C8" t="inlineStr">
        <is>
          <t>KOKOMO</t>
        </is>
      </c>
      <c r="D8" t="inlineStr">
        <is>
          <t>IN</t>
        </is>
      </c>
      <c r="E8" t="inlineStr">
        <is>
          <t>Ascension</t>
        </is>
      </c>
      <c r="F8" s="22" t="n">
        <v>5.7</v>
      </c>
      <c r="G8" s="23" t="n">
        <v>77.2565</v>
      </c>
      <c r="H8" s="23" t="n">
        <v>77.2565</v>
      </c>
      <c r="I8" s="23" t="n">
        <v>0</v>
      </c>
      <c r="J8" s="24" t="n">
        <v>0</v>
      </c>
      <c r="K8" s="24" t="n">
        <v>727.974</v>
      </c>
      <c r="L8" s="24" t="n">
        <v>-727.974</v>
      </c>
      <c r="M8" s="25" t="n">
        <v>0</v>
      </c>
      <c r="N8" s="24" t="n">
        <v>0</v>
      </c>
      <c r="O8" s="24" t="n">
        <v>727.974</v>
      </c>
      <c r="P8" s="24" t="n">
        <v>0</v>
      </c>
      <c r="Q8" s="24" t="n">
        <v>0</v>
      </c>
      <c r="R8" s="24" t="n">
        <v>0</v>
      </c>
      <c r="S8" s="24" t="n">
        <v>0</v>
      </c>
      <c r="T8" s="24" t="n">
        <v>0</v>
      </c>
      <c r="U8" t="inlineStr">
        <is>
          <t>manual_review</t>
        </is>
      </c>
      <c r="V8" s="22" t="n">
        <v>0.92</v>
      </c>
      <c r="W8" t="inlineStr">
        <is>
          <t>hcris_nmrc_agency_per_hospital</t>
        </is>
      </c>
      <c r="X8" t="b">
        <v>1</v>
      </c>
    </row>
    <row r="9">
      <c r="A9" t="inlineStr">
        <is>
          <t>150084</t>
        </is>
      </c>
      <c r="B9" t="inlineStr">
        <is>
          <t>ASCENSION ST VINCENT HOSPITAL</t>
        </is>
      </c>
      <c r="C9" t="inlineStr">
        <is>
          <t>INDIANAPOLIS</t>
        </is>
      </c>
      <c r="D9" t="inlineStr">
        <is>
          <t>IN</t>
        </is>
      </c>
      <c r="E9" t="inlineStr">
        <is>
          <t>Ascension</t>
        </is>
      </c>
      <c r="F9" s="22" t="n">
        <v>157.1</v>
      </c>
      <c r="G9" s="23" t="n">
        <v>46.611425</v>
      </c>
      <c r="H9" s="23" t="n">
        <v>70.69</v>
      </c>
      <c r="I9" s="23" t="n">
        <v>24.07857499999999</v>
      </c>
      <c r="J9" s="24" t="n">
        <v>917.7246000000001</v>
      </c>
      <c r="K9" s="24" t="n">
        <v>458.8623000000001</v>
      </c>
      <c r="L9" s="24" t="n">
        <v>458.8623000000001</v>
      </c>
      <c r="M9" s="25" t="n">
        <v>0.5</v>
      </c>
      <c r="N9" s="24" t="n">
        <v>3756.257699999999</v>
      </c>
      <c r="O9" s="24" t="n">
        <v>3297.395399999999</v>
      </c>
      <c r="P9" s="24" t="n">
        <v>144211.2927773236</v>
      </c>
      <c r="Q9" s="24" t="n">
        <v>72105.64638866179</v>
      </c>
      <c r="R9" s="24" t="n">
        <v>518152.8896926156</v>
      </c>
      <c r="S9" s="24" t="n">
        <v>3461071.026655766</v>
      </c>
      <c r="T9" s="24" t="n">
        <v>12435669.35262278</v>
      </c>
      <c r="U9" t="inlineStr">
        <is>
          <t>target</t>
        </is>
      </c>
      <c r="V9" s="22" t="n">
        <v>0.92</v>
      </c>
      <c r="W9" t="inlineStr">
        <is>
          <t>hcris_nmrc_agency_per_hospital</t>
        </is>
      </c>
      <c r="X9" t="b">
        <v>0</v>
      </c>
    </row>
    <row r="10">
      <c r="A10" t="inlineStr">
        <is>
          <t>150088</t>
        </is>
      </c>
      <c r="B10" t="inlineStr">
        <is>
          <t>ASCENSION ST VINCENT ANDERSON</t>
        </is>
      </c>
      <c r="C10" t="inlineStr">
        <is>
          <t>ANDERSON</t>
        </is>
      </c>
      <c r="D10" t="inlineStr">
        <is>
          <t>IN</t>
        </is>
      </c>
      <c r="E10" t="inlineStr">
        <is>
          <t>Ascension</t>
        </is>
      </c>
      <c r="F10" s="22" t="n">
        <v>20.6</v>
      </c>
      <c r="G10" s="23" t="n">
        <v>48.62142500000001</v>
      </c>
      <c r="H10" s="23" t="n">
        <v>59.48</v>
      </c>
      <c r="I10" s="23" t="n">
        <v>10.85857499999999</v>
      </c>
      <c r="J10" s="24" t="n">
        <v>917.7246000000001</v>
      </c>
      <c r="K10" s="24" t="n">
        <v>458.8623000000001</v>
      </c>
      <c r="L10" s="24" t="n">
        <v>458.8623000000001</v>
      </c>
      <c r="M10" s="25" t="n">
        <v>0.5</v>
      </c>
      <c r="N10" s="24" t="n">
        <v>1693.937699999998</v>
      </c>
      <c r="O10" s="24" t="n">
        <v>1235.075399999998</v>
      </c>
      <c r="P10" s="24" t="n">
        <v>18908.8784120881</v>
      </c>
      <c r="Q10" s="24" t="n">
        <v>9454.43920604405</v>
      </c>
      <c r="R10" s="24" t="n">
        <v>25447.60222005713</v>
      </c>
      <c r="S10" s="24" t="n">
        <v>453813.0818901144</v>
      </c>
      <c r="T10" s="24" t="n">
        <v>610742.453281371</v>
      </c>
      <c r="U10" t="inlineStr">
        <is>
          <t>target</t>
        </is>
      </c>
      <c r="V10" s="22" t="n">
        <v>0.92</v>
      </c>
      <c r="W10" t="inlineStr">
        <is>
          <t>hcris_nmrc_agency_per_hospital</t>
        </is>
      </c>
      <c r="X10" t="b">
        <v>0</v>
      </c>
    </row>
    <row r="11">
      <c r="A11" t="inlineStr">
        <is>
          <t>150100</t>
        </is>
      </c>
      <c r="B11" t="inlineStr">
        <is>
          <t>ASCENSION ST VINCENT EVANSVILLE</t>
        </is>
      </c>
      <c r="C11" t="inlineStr">
        <is>
          <t>EVANSVILLE</t>
        </is>
      </c>
      <c r="D11" t="inlineStr">
        <is>
          <t>IN</t>
        </is>
      </c>
      <c r="E11" t="inlineStr">
        <is>
          <t>Ascension</t>
        </is>
      </c>
      <c r="F11" s="22" t="n">
        <v>105.8</v>
      </c>
      <c r="G11" s="23" t="n">
        <v>71.776895</v>
      </c>
      <c r="H11" s="23" t="n">
        <v>71.776895</v>
      </c>
      <c r="I11" s="23" t="n">
        <v>0</v>
      </c>
      <c r="J11" s="24" t="n">
        <v>0</v>
      </c>
      <c r="K11" s="24" t="n">
        <v>673.4356200000001</v>
      </c>
      <c r="L11" s="24" t="n">
        <v>-673.4356200000001</v>
      </c>
      <c r="M11" s="25" t="n">
        <v>0</v>
      </c>
      <c r="N11" s="24" t="n">
        <v>0</v>
      </c>
      <c r="O11" s="24" t="n">
        <v>673.4356200000001</v>
      </c>
      <c r="P11" s="24" t="n">
        <v>0</v>
      </c>
      <c r="Q11" s="24" t="n">
        <v>0</v>
      </c>
      <c r="R11" s="24" t="n">
        <v>0</v>
      </c>
      <c r="S11" s="24" t="n">
        <v>0</v>
      </c>
      <c r="T11" s="24" t="n">
        <v>0</v>
      </c>
      <c r="U11" t="inlineStr">
        <is>
          <t>manual_review</t>
        </is>
      </c>
      <c r="V11" s="22" t="n">
        <v>0.92</v>
      </c>
      <c r="W11" t="inlineStr">
        <is>
          <t>hcris_nmrc_agency_per_hospital</t>
        </is>
      </c>
      <c r="X11" t="b">
        <v>1</v>
      </c>
    </row>
    <row r="12">
      <c r="A12" t="inlineStr">
        <is>
          <t>150157</t>
        </is>
      </c>
      <c r="B12" t="inlineStr">
        <is>
          <t>ASCENSION ST VINCENT CARMEL</t>
        </is>
      </c>
      <c r="C12" t="inlineStr">
        <is>
          <t>CARMEL</t>
        </is>
      </c>
      <c r="D12" t="inlineStr">
        <is>
          <t>IN</t>
        </is>
      </c>
      <c r="E12" t="inlineStr">
        <is>
          <t>Ascension</t>
        </is>
      </c>
      <c r="F12" s="22" t="n">
        <v>21.1</v>
      </c>
      <c r="G12" s="23" t="n">
        <v>49.92142500000001</v>
      </c>
      <c r="H12" s="23" t="n">
        <v>60.37</v>
      </c>
      <c r="I12" s="23" t="n">
        <v>10.44857499999999</v>
      </c>
      <c r="J12" s="24" t="n">
        <v>917.7246000000001</v>
      </c>
      <c r="K12" s="24" t="n">
        <v>458.8623000000001</v>
      </c>
      <c r="L12" s="24" t="n">
        <v>458.8623000000001</v>
      </c>
      <c r="M12" s="25" t="n">
        <v>0.5</v>
      </c>
      <c r="N12" s="24" t="n">
        <v>1629.977699999999</v>
      </c>
      <c r="O12" s="24" t="n">
        <v>1171.115399999999</v>
      </c>
      <c r="P12" s="24" t="n">
        <v>19323.00770612888</v>
      </c>
      <c r="Q12" s="24" t="n">
        <v>9661.50385306444</v>
      </c>
      <c r="R12" s="24" t="n">
        <v>24658.23832004304</v>
      </c>
      <c r="S12" s="24" t="n">
        <v>463752.1849470931</v>
      </c>
      <c r="T12" s="24" t="n">
        <v>591797.719681033</v>
      </c>
      <c r="U12" t="inlineStr">
        <is>
          <t>target</t>
        </is>
      </c>
      <c r="V12" s="22" t="n">
        <v>0.92</v>
      </c>
      <c r="W12" t="inlineStr">
        <is>
          <t>hcris_nmrc_agency_per_hospital</t>
        </is>
      </c>
      <c r="X12" t="b">
        <v>0</v>
      </c>
    </row>
    <row r="13">
      <c r="A13" t="inlineStr">
        <is>
          <t>150181</t>
        </is>
      </c>
      <c r="B13" t="inlineStr">
        <is>
          <t>ASCENSION ST VINCENT FISHERS</t>
        </is>
      </c>
      <c r="C13" t="inlineStr">
        <is>
          <t>FISHERS</t>
        </is>
      </c>
      <c r="D13" t="inlineStr">
        <is>
          <t>IN</t>
        </is>
      </c>
      <c r="E13" t="inlineStr">
        <is>
          <t>Ascension</t>
        </is>
      </c>
      <c r="F13" s="22" t="n">
        <v>5.1</v>
      </c>
      <c r="G13" s="23" t="n">
        <v>46.971425</v>
      </c>
      <c r="H13" s="23" t="n">
        <v>61.39</v>
      </c>
      <c r="I13" s="23" t="n">
        <v>14.418575</v>
      </c>
      <c r="J13" s="24" t="n">
        <v>917.7246000000001</v>
      </c>
      <c r="K13" s="24" t="n">
        <v>458.8623000000001</v>
      </c>
      <c r="L13" s="24" t="n">
        <v>458.8623000000001</v>
      </c>
      <c r="M13" s="25" t="n">
        <v>0.5</v>
      </c>
      <c r="N13" s="24" t="n">
        <v>2249.2977</v>
      </c>
      <c r="O13" s="24" t="n">
        <v>1790.4354</v>
      </c>
      <c r="P13" s="24" t="n">
        <v>4718.404094836294</v>
      </c>
      <c r="Q13" s="24" t="n">
        <v>2359.202047418147</v>
      </c>
      <c r="R13" s="24" t="n">
        <v>9205.373510636911</v>
      </c>
      <c r="S13" s="24" t="n">
        <v>113241.6982760711</v>
      </c>
      <c r="T13" s="24" t="n">
        <v>220928.9642552859</v>
      </c>
      <c r="U13" t="inlineStr">
        <is>
          <t>target</t>
        </is>
      </c>
      <c r="V13" s="22" t="n">
        <v>0.92</v>
      </c>
      <c r="W13" t="inlineStr">
        <is>
          <t>hcris_nmrc_agency_per_hospital</t>
        </is>
      </c>
      <c r="X13" t="b">
        <v>0</v>
      </c>
    </row>
    <row r="14">
      <c r="A14" t="inlineStr">
        <is>
          <t>151301</t>
        </is>
      </c>
      <c r="B14" t="inlineStr">
        <is>
          <t>ASCENSION ST VINCENT RANDOLPH</t>
        </is>
      </c>
      <c r="C14" t="inlineStr">
        <is>
          <t>WINCHESTER</t>
        </is>
      </c>
      <c r="D14" t="inlineStr">
        <is>
          <t>IN</t>
        </is>
      </c>
      <c r="E14" t="inlineStr">
        <is>
          <t>Ascension</t>
        </is>
      </c>
      <c r="F14" s="22" t="n">
        <v>17</v>
      </c>
      <c r="G14" s="23" t="n">
        <v>51.957875</v>
      </c>
      <c r="H14" s="23" t="n">
        <v>88.34999999999999</v>
      </c>
      <c r="I14" s="23" t="n">
        <v>36.39212499999999</v>
      </c>
      <c r="J14" s="24" t="n">
        <v>901.0170000000002</v>
      </c>
      <c r="K14" s="24" t="n">
        <v>450.5085000000001</v>
      </c>
      <c r="L14" s="24" t="n">
        <v>450.5085000000001</v>
      </c>
      <c r="M14" s="25" t="n">
        <v>0.5</v>
      </c>
      <c r="N14" s="24" t="n">
        <v>5677.171499999999</v>
      </c>
      <c r="O14" s="24" t="n">
        <v>5226.662999999999</v>
      </c>
      <c r="P14" s="24" t="n">
        <v>15317.289</v>
      </c>
      <c r="Q14" s="24" t="n">
        <v>7658.644500000001</v>
      </c>
      <c r="R14" s="24" t="n">
        <v>88853.27099999998</v>
      </c>
      <c r="S14" s="24" t="n">
        <v>367614.936</v>
      </c>
      <c r="T14" s="24" t="n">
        <v>2132478.503999999</v>
      </c>
      <c r="U14" t="inlineStr">
        <is>
          <t>target</t>
        </is>
      </c>
      <c r="V14" s="22" t="n">
        <v>0.85</v>
      </c>
      <c r="W14" t="inlineStr">
        <is>
          <t>hcris_derived_with_state_agency</t>
        </is>
      </c>
      <c r="X14" t="b">
        <v>0</v>
      </c>
    </row>
    <row r="15">
      <c r="A15" t="inlineStr">
        <is>
          <t>151303</t>
        </is>
      </c>
      <c r="B15" t="inlineStr">
        <is>
          <t>ASCENSION ST VINCENT JENNINGS</t>
        </is>
      </c>
      <c r="C15" t="inlineStr">
        <is>
          <t>NORTH VERNON</t>
        </is>
      </c>
      <c r="D15" t="inlineStr">
        <is>
          <t>IN</t>
        </is>
      </c>
      <c r="E15" t="inlineStr">
        <is>
          <t>Ascension</t>
        </is>
      </c>
      <c r="F15" s="22" t="n">
        <v>13.3</v>
      </c>
      <c r="G15" s="23" t="n">
        <v>51.957875</v>
      </c>
      <c r="H15" s="23" t="n">
        <v>88.34999999999999</v>
      </c>
      <c r="I15" s="23" t="n">
        <v>36.39212499999999</v>
      </c>
      <c r="J15" s="24" t="n">
        <v>901.0170000000002</v>
      </c>
      <c r="K15" s="24" t="n">
        <v>450.5085000000001</v>
      </c>
      <c r="L15" s="24" t="n">
        <v>450.5085000000001</v>
      </c>
      <c r="M15" s="25" t="n">
        <v>0.5</v>
      </c>
      <c r="N15" s="24" t="n">
        <v>5677.171499999999</v>
      </c>
      <c r="O15" s="24" t="n">
        <v>5226.662999999999</v>
      </c>
      <c r="P15" s="24" t="n">
        <v>11983.5261</v>
      </c>
      <c r="Q15" s="24" t="n">
        <v>5991.763050000001</v>
      </c>
      <c r="R15" s="24" t="n">
        <v>69514.61789999998</v>
      </c>
      <c r="S15" s="24" t="n">
        <v>287604.6264000001</v>
      </c>
      <c r="T15" s="24" t="n">
        <v>1668350.8296</v>
      </c>
      <c r="U15" t="inlineStr">
        <is>
          <t>target</t>
        </is>
      </c>
      <c r="V15" s="22" t="n">
        <v>0.85</v>
      </c>
      <c r="W15" t="inlineStr">
        <is>
          <t>hcris_derived_with_state_agency</t>
        </is>
      </c>
      <c r="X15" t="b">
        <v>0</v>
      </c>
    </row>
    <row r="16">
      <c r="A16" t="inlineStr">
        <is>
          <t>151307</t>
        </is>
      </c>
      <c r="B16" t="inlineStr">
        <is>
          <t>ASCENSION ST VINCENT WILLIAMSPORT</t>
        </is>
      </c>
      <c r="C16" t="inlineStr">
        <is>
          <t>WILLIAMSPORT</t>
        </is>
      </c>
      <c r="D16" t="inlineStr">
        <is>
          <t>IN</t>
        </is>
      </c>
      <c r="E16" t="inlineStr">
        <is>
          <t>Ascension</t>
        </is>
      </c>
      <c r="F16" s="22" t="n">
        <v>19.7</v>
      </c>
      <c r="G16" s="23" t="n">
        <v>51.957875</v>
      </c>
      <c r="H16" s="23" t="n">
        <v>88.34999999999999</v>
      </c>
      <c r="I16" s="23" t="n">
        <v>36.39212499999999</v>
      </c>
      <c r="J16" s="24" t="n">
        <v>901.0170000000002</v>
      </c>
      <c r="K16" s="24" t="n">
        <v>450.5085000000001</v>
      </c>
      <c r="L16" s="24" t="n">
        <v>450.5085000000001</v>
      </c>
      <c r="M16" s="25" t="n">
        <v>0.5</v>
      </c>
      <c r="N16" s="24" t="n">
        <v>5677.171499999999</v>
      </c>
      <c r="O16" s="24" t="n">
        <v>5226.662999999999</v>
      </c>
      <c r="P16" s="24" t="n">
        <v>17750.0349</v>
      </c>
      <c r="Q16" s="24" t="n">
        <v>8875.017450000001</v>
      </c>
      <c r="R16" s="24" t="n">
        <v>102965.2611</v>
      </c>
      <c r="S16" s="24" t="n">
        <v>426000.8376</v>
      </c>
      <c r="T16" s="24" t="n">
        <v>2471166.266399999</v>
      </c>
      <c r="U16" t="inlineStr">
        <is>
          <t>target</t>
        </is>
      </c>
      <c r="V16" s="22" t="n">
        <v>0.85</v>
      </c>
      <c r="W16" t="inlineStr">
        <is>
          <t>hcris_derived_with_state_agency</t>
        </is>
      </c>
      <c r="X16" t="b">
        <v>0</v>
      </c>
    </row>
    <row r="17">
      <c r="A17" t="inlineStr">
        <is>
          <t>151308</t>
        </is>
      </c>
      <c r="B17" t="inlineStr">
        <is>
          <t>ASCENSION ST VINCENT MERCY</t>
        </is>
      </c>
      <c r="C17" t="inlineStr">
        <is>
          <t>ELWOOD</t>
        </is>
      </c>
      <c r="D17" t="inlineStr">
        <is>
          <t>IN</t>
        </is>
      </c>
      <c r="E17" t="inlineStr">
        <is>
          <t>Ascension</t>
        </is>
      </c>
      <c r="F17" s="22" t="n">
        <v>18</v>
      </c>
      <c r="G17" s="23" t="n">
        <v>52.931425</v>
      </c>
      <c r="H17" s="23" t="n">
        <v>88.34999999999999</v>
      </c>
      <c r="I17" s="23" t="n">
        <v>35.41857499999999</v>
      </c>
      <c r="J17" s="24" t="n">
        <v>917.7246000000001</v>
      </c>
      <c r="K17" s="24" t="n">
        <v>458.8623000000001</v>
      </c>
      <c r="L17" s="24" t="n">
        <v>458.8623000000001</v>
      </c>
      <c r="M17" s="25" t="n">
        <v>0.5</v>
      </c>
      <c r="N17" s="24" t="n">
        <v>5525.297699999998</v>
      </c>
      <c r="O17" s="24" t="n">
        <v>5066.435399999998</v>
      </c>
      <c r="P17" s="24" t="n">
        <v>16519.0428</v>
      </c>
      <c r="Q17" s="24" t="n">
        <v>8259.521400000001</v>
      </c>
      <c r="R17" s="24" t="n">
        <v>91195.83719999995</v>
      </c>
      <c r="S17" s="24" t="n">
        <v>396457.0272000001</v>
      </c>
      <c r="T17" s="24" t="n">
        <v>2188700.092799999</v>
      </c>
      <c r="U17" t="inlineStr">
        <is>
          <t>target</t>
        </is>
      </c>
      <c r="V17" s="22" t="n">
        <v>0.85</v>
      </c>
      <c r="W17" t="inlineStr">
        <is>
          <t>hcris_derived_with_state_agency</t>
        </is>
      </c>
      <c r="X17" t="b">
        <v>0</v>
      </c>
    </row>
    <row r="18">
      <c r="A18" t="inlineStr">
        <is>
          <t>151309</t>
        </is>
      </c>
      <c r="B18" t="inlineStr">
        <is>
          <t>ASCENSION ST VINCENT CLAY</t>
        </is>
      </c>
      <c r="C18" t="inlineStr">
        <is>
          <t>BRAZIL</t>
        </is>
      </c>
      <c r="D18" t="inlineStr">
        <is>
          <t>IN</t>
        </is>
      </c>
      <c r="E18" t="inlineStr">
        <is>
          <t>Ascension</t>
        </is>
      </c>
      <c r="F18" s="22" t="n">
        <v>13.5</v>
      </c>
      <c r="G18" s="23" t="n">
        <v>51.957875</v>
      </c>
      <c r="H18" s="23" t="n">
        <v>88.34999999999999</v>
      </c>
      <c r="I18" s="23" t="n">
        <v>36.39212499999999</v>
      </c>
      <c r="J18" s="24" t="n">
        <v>901.0170000000002</v>
      </c>
      <c r="K18" s="24" t="n">
        <v>450.5085000000001</v>
      </c>
      <c r="L18" s="24" t="n">
        <v>450.5085000000001</v>
      </c>
      <c r="M18" s="25" t="n">
        <v>0.5</v>
      </c>
      <c r="N18" s="24" t="n">
        <v>5677.171499999999</v>
      </c>
      <c r="O18" s="24" t="n">
        <v>5226.662999999999</v>
      </c>
      <c r="P18" s="24" t="n">
        <v>12163.7295</v>
      </c>
      <c r="Q18" s="24" t="n">
        <v>6081.864750000002</v>
      </c>
      <c r="R18" s="24" t="n">
        <v>70559.95049999998</v>
      </c>
      <c r="S18" s="24" t="n">
        <v>291929.508</v>
      </c>
      <c r="T18" s="24" t="n">
        <v>1693438.811999999</v>
      </c>
      <c r="U18" t="inlineStr">
        <is>
          <t>target</t>
        </is>
      </c>
      <c r="V18" s="22" t="n">
        <v>0.85</v>
      </c>
      <c r="W18" t="inlineStr">
        <is>
          <t>hcris_derived_with_state_agency</t>
        </is>
      </c>
      <c r="X18" t="b">
        <v>0</v>
      </c>
    </row>
    <row r="19">
      <c r="A19" t="inlineStr">
        <is>
          <t>151314</t>
        </is>
      </c>
      <c r="B19" t="inlineStr">
        <is>
          <t>ASCENSION ST VINCENT SALEM</t>
        </is>
      </c>
      <c r="C19" t="inlineStr">
        <is>
          <t>SALEM</t>
        </is>
      </c>
      <c r="D19" t="inlineStr">
        <is>
          <t>IN</t>
        </is>
      </c>
      <c r="E19" t="inlineStr">
        <is>
          <t>Ascension</t>
        </is>
      </c>
      <c r="F19" s="22" t="n">
        <v>14.3</v>
      </c>
      <c r="G19" s="23" t="n">
        <v>51.68257499999999</v>
      </c>
      <c r="H19" s="23" t="n">
        <v>88.34999999999999</v>
      </c>
      <c r="I19" s="23" t="n">
        <v>36.667425</v>
      </c>
      <c r="J19" s="24" t="n">
        <v>896.2433999999998</v>
      </c>
      <c r="K19" s="24" t="n">
        <v>448.1216999999999</v>
      </c>
      <c r="L19" s="24" t="n">
        <v>448.1216999999999</v>
      </c>
      <c r="M19" s="25" t="n">
        <v>0.5</v>
      </c>
      <c r="N19" s="24" t="n">
        <v>5720.1183</v>
      </c>
      <c r="O19" s="24" t="n">
        <v>5271.9966</v>
      </c>
      <c r="P19" s="24" t="n">
        <v>12816.28062</v>
      </c>
      <c r="Q19" s="24" t="n">
        <v>6408.140309999999</v>
      </c>
      <c r="R19" s="24" t="n">
        <v>75389.55138</v>
      </c>
      <c r="S19" s="24" t="n">
        <v>307590.7348799999</v>
      </c>
      <c r="T19" s="24" t="n">
        <v>1809349.23312</v>
      </c>
      <c r="U19" t="inlineStr">
        <is>
          <t>target</t>
        </is>
      </c>
      <c r="V19" s="22" t="n">
        <v>0.85</v>
      </c>
      <c r="W19" t="inlineStr">
        <is>
          <t>hcris_derived_with_state_agency</t>
        </is>
      </c>
      <c r="X19" t="b">
        <v>0</v>
      </c>
    </row>
    <row r="20">
      <c r="A20" t="inlineStr">
        <is>
          <t>151325</t>
        </is>
      </c>
      <c r="B20" t="inlineStr">
        <is>
          <t>ASCENSION ST VINCENT WARRICK</t>
        </is>
      </c>
      <c r="C20" t="inlineStr">
        <is>
          <t>BOONVILLE</t>
        </is>
      </c>
      <c r="D20" t="inlineStr">
        <is>
          <t>IN</t>
        </is>
      </c>
      <c r="E20" t="inlineStr">
        <is>
          <t>Ascension</t>
        </is>
      </c>
      <c r="F20" s="22" t="n">
        <v>15.9</v>
      </c>
      <c r="G20" s="23" t="n">
        <v>51.957875</v>
      </c>
      <c r="H20" s="23" t="n">
        <v>88.34999999999999</v>
      </c>
      <c r="I20" s="23" t="n">
        <v>36.39212499999999</v>
      </c>
      <c r="J20" s="24" t="n">
        <v>901.0170000000002</v>
      </c>
      <c r="K20" s="24" t="n">
        <v>450.5085000000001</v>
      </c>
      <c r="L20" s="24" t="n">
        <v>450.5085000000001</v>
      </c>
      <c r="M20" s="25" t="n">
        <v>0.5</v>
      </c>
      <c r="N20" s="24" t="n">
        <v>5677.171499999999</v>
      </c>
      <c r="O20" s="24" t="n">
        <v>5226.662999999999</v>
      </c>
      <c r="P20" s="24" t="n">
        <v>14326.1703</v>
      </c>
      <c r="Q20" s="24" t="n">
        <v>7163.085150000002</v>
      </c>
      <c r="R20" s="24" t="n">
        <v>83103.94169999998</v>
      </c>
      <c r="S20" s="24" t="n">
        <v>343828.0872000001</v>
      </c>
      <c r="T20" s="24" t="n">
        <v>1994494.600799999</v>
      </c>
      <c r="U20" t="inlineStr">
        <is>
          <t>target</t>
        </is>
      </c>
      <c r="V20" s="22" t="n">
        <v>0.85</v>
      </c>
      <c r="W20" t="inlineStr">
        <is>
          <t>hcris_derived_with_state_agency</t>
        </is>
      </c>
      <c r="X20" t="b">
        <v>0</v>
      </c>
    </row>
    <row r="21">
      <c r="A21" t="inlineStr">
        <is>
          <t>170122</t>
        </is>
      </c>
      <c r="B21" t="inlineStr">
        <is>
          <t>ASCENSION VIA CHRISTI HOSPITALS WICHITA, INC.</t>
        </is>
      </c>
      <c r="C21" t="inlineStr">
        <is>
          <t>WICHITA</t>
        </is>
      </c>
      <c r="D21" t="inlineStr">
        <is>
          <t>KS</t>
        </is>
      </c>
      <c r="E21" t="inlineStr">
        <is>
          <t>Ascension</t>
        </is>
      </c>
      <c r="F21" s="22" t="n">
        <v>160.3</v>
      </c>
      <c r="G21" s="23" t="n">
        <v>69.26466499999999</v>
      </c>
      <c r="H21" s="23" t="n">
        <v>87.79000000000001</v>
      </c>
      <c r="I21" s="23" t="n">
        <v>18.52533500000001</v>
      </c>
      <c r="J21" s="24" t="n">
        <v>1255.69548</v>
      </c>
      <c r="K21" s="24" t="n">
        <v>627.8477399999999</v>
      </c>
      <c r="L21" s="24" t="n">
        <v>627.8477399999999</v>
      </c>
      <c r="M21" s="25" t="n">
        <v>0.5</v>
      </c>
      <c r="N21" s="24" t="n">
        <v>2889.952260000002</v>
      </c>
      <c r="O21" s="24" t="n">
        <v>2262.104520000002</v>
      </c>
      <c r="P21" s="24" t="n">
        <v>201265.8305777674</v>
      </c>
      <c r="Q21" s="24" t="n">
        <v>100632.9152888837</v>
      </c>
      <c r="R21" s="24" t="n">
        <v>362575.443109441</v>
      </c>
      <c r="S21" s="24" t="n">
        <v>4830379.933866417</v>
      </c>
      <c r="T21" s="24" t="n">
        <v>8701810.634626584</v>
      </c>
      <c r="U21" t="inlineStr">
        <is>
          <t>target</t>
        </is>
      </c>
      <c r="V21" s="22" t="n">
        <v>0.92</v>
      </c>
      <c r="W21" t="inlineStr">
        <is>
          <t>hcris_nmrc_agency_per_hospital</t>
        </is>
      </c>
      <c r="X21" t="b">
        <v>0</v>
      </c>
    </row>
    <row r="22">
      <c r="A22" t="inlineStr">
        <is>
          <t>170142</t>
        </is>
      </c>
      <c r="B22" t="inlineStr">
        <is>
          <t>ASCENSION VIA CHRISTI HOSPITAL MANHATTAN, INC</t>
        </is>
      </c>
      <c r="C22" t="inlineStr">
        <is>
          <t>MANHATTAN</t>
        </is>
      </c>
      <c r="D22" t="inlineStr">
        <is>
          <t>KS</t>
        </is>
      </c>
      <c r="E22" t="inlineStr">
        <is>
          <t>Ascension</t>
        </is>
      </c>
      <c r="F22" s="22" t="n">
        <v>11.9</v>
      </c>
      <c r="G22" s="23" t="n">
        <v>79.67392500000001</v>
      </c>
      <c r="H22" s="23" t="n">
        <v>79.67392500000001</v>
      </c>
      <c r="I22" s="23" t="n">
        <v>0</v>
      </c>
      <c r="J22" s="24" t="n">
        <v>0</v>
      </c>
      <c r="K22" s="24" t="n">
        <v>757.2123000000001</v>
      </c>
      <c r="L22" s="24" t="n">
        <v>-757.2123000000001</v>
      </c>
      <c r="M22" s="25" t="n">
        <v>0</v>
      </c>
      <c r="N22" s="24" t="n">
        <v>0</v>
      </c>
      <c r="O22" s="24" t="n">
        <v>757.2123000000001</v>
      </c>
      <c r="P22" s="24" t="n">
        <v>0</v>
      </c>
      <c r="Q22" s="24" t="n">
        <v>0</v>
      </c>
      <c r="R22" s="24" t="n">
        <v>0</v>
      </c>
      <c r="S22" s="24" t="n">
        <v>0</v>
      </c>
      <c r="T22" s="24" t="n">
        <v>0</v>
      </c>
      <c r="U22" t="inlineStr">
        <is>
          <t>manual_review</t>
        </is>
      </c>
      <c r="V22" s="22" t="n">
        <v>0.92</v>
      </c>
      <c r="W22" t="inlineStr">
        <is>
          <t>hcris_nmrc_agency_per_hospital</t>
        </is>
      </c>
      <c r="X22" t="b">
        <v>1</v>
      </c>
    </row>
    <row r="23">
      <c r="A23" t="inlineStr">
        <is>
          <t>230019</t>
        </is>
      </c>
      <c r="B23" t="inlineStr">
        <is>
          <t>ASCENSION PROVIDENCE HOSPITAL, SOUTHFIELD AND NOVI</t>
        </is>
      </c>
      <c r="C23" t="inlineStr">
        <is>
          <t>SOUTHFIELD</t>
        </is>
      </c>
      <c r="D23" t="inlineStr">
        <is>
          <t>MI</t>
        </is>
      </c>
      <c r="E23" t="inlineStr">
        <is>
          <t>Ascension</t>
        </is>
      </c>
      <c r="F23" s="22" t="n">
        <v>32.3</v>
      </c>
      <c r="G23" s="23" t="n">
        <v>50.545025</v>
      </c>
      <c r="H23" s="23" t="n">
        <v>107.09</v>
      </c>
      <c r="I23" s="23" t="n">
        <v>56.544975</v>
      </c>
      <c r="J23" s="24" t="n">
        <v>975.0078</v>
      </c>
      <c r="K23" s="24" t="n">
        <v>487.5039</v>
      </c>
      <c r="L23" s="24" t="n">
        <v>487.5039</v>
      </c>
      <c r="M23" s="25" t="n">
        <v>0.5</v>
      </c>
      <c r="N23" s="24" t="n">
        <v>8821.016100000001</v>
      </c>
      <c r="O23" s="24" t="n">
        <v>8333.512200000001</v>
      </c>
      <c r="P23" s="24" t="n">
        <v>31533.56770213838</v>
      </c>
      <c r="Q23" s="24" t="n">
        <v>15766.78385106919</v>
      </c>
      <c r="R23" s="24" t="n">
        <v>269521.3014247642</v>
      </c>
      <c r="S23" s="24" t="n">
        <v>756805.6248513212</v>
      </c>
      <c r="T23" s="24" t="n">
        <v>6468511.234194341</v>
      </c>
      <c r="U23" t="inlineStr">
        <is>
          <t>target</t>
        </is>
      </c>
      <c r="V23" s="22" t="n">
        <v>0.92</v>
      </c>
      <c r="W23" t="inlineStr">
        <is>
          <t>hcris_nmrc_agency_per_hospital</t>
        </is>
      </c>
      <c r="X23" t="b">
        <v>0</v>
      </c>
    </row>
    <row r="24">
      <c r="A24" t="inlineStr">
        <is>
          <t>230197</t>
        </is>
      </c>
      <c r="B24" t="inlineStr">
        <is>
          <t>ASCENSION GENESYS HOSPITAL</t>
        </is>
      </c>
      <c r="C24" t="inlineStr">
        <is>
          <t>GRAND BLANC</t>
        </is>
      </c>
      <c r="D24" t="inlineStr">
        <is>
          <t>MI</t>
        </is>
      </c>
      <c r="E24" t="inlineStr">
        <is>
          <t>Ascension</t>
        </is>
      </c>
      <c r="F24" s="22" t="n">
        <v>49.2</v>
      </c>
      <c r="G24" s="23" t="n">
        <v>77.984145</v>
      </c>
      <c r="H24" s="23" t="n">
        <v>89.61</v>
      </c>
      <c r="I24" s="23" t="n">
        <v>11.625855</v>
      </c>
      <c r="J24" s="24" t="n">
        <v>1502.01324</v>
      </c>
      <c r="K24" s="24" t="n">
        <v>751.0066200000001</v>
      </c>
      <c r="L24" s="24" t="n">
        <v>751.0066200000001</v>
      </c>
      <c r="M24" s="25" t="n">
        <v>0.5</v>
      </c>
      <c r="N24" s="24" t="n">
        <v>1813.63338</v>
      </c>
      <c r="O24" s="24" t="n">
        <v>1062.62676</v>
      </c>
      <c r="P24" s="24" t="n">
        <v>73931.79984291263</v>
      </c>
      <c r="Q24" s="24" t="n">
        <v>36965.89992145632</v>
      </c>
      <c r="R24" s="24" t="n">
        <v>52304.40507171745</v>
      </c>
      <c r="S24" s="24" t="n">
        <v>1774363.196229903</v>
      </c>
      <c r="T24" s="24" t="n">
        <v>1255305.721721219</v>
      </c>
      <c r="U24" t="inlineStr">
        <is>
          <t>target</t>
        </is>
      </c>
      <c r="V24" s="22" t="n">
        <v>0.92</v>
      </c>
      <c r="W24" t="inlineStr">
        <is>
          <t>hcris_nmrc_agency_per_hospital</t>
        </is>
      </c>
      <c r="X24" t="b">
        <v>0</v>
      </c>
    </row>
    <row r="25">
      <c r="A25" t="inlineStr">
        <is>
          <t>230241</t>
        </is>
      </c>
      <c r="B25" t="inlineStr">
        <is>
          <t>ASCENSION RIVER DISTRICT HOSPITAL</t>
        </is>
      </c>
      <c r="C25" t="inlineStr">
        <is>
          <t>EAST CHINA</t>
        </is>
      </c>
      <c r="D25" t="inlineStr">
        <is>
          <t>MI</t>
        </is>
      </c>
      <c r="E25" t="inlineStr">
        <is>
          <t>Ascension</t>
        </is>
      </c>
      <c r="F25" s="22" t="n">
        <v>36.1</v>
      </c>
      <c r="G25" s="23" t="n">
        <v>52.445025</v>
      </c>
      <c r="H25" s="23" t="n">
        <v>97.54000000000001</v>
      </c>
      <c r="I25" s="23" t="n">
        <v>45.09497500000001</v>
      </c>
      <c r="J25" s="24" t="n">
        <v>975.0078</v>
      </c>
      <c r="K25" s="24" t="n">
        <v>487.5039</v>
      </c>
      <c r="L25" s="24" t="n">
        <v>487.5039</v>
      </c>
      <c r="M25" s="25" t="n">
        <v>0.5</v>
      </c>
      <c r="N25" s="24" t="n">
        <v>7034.816100000001</v>
      </c>
      <c r="O25" s="24" t="n">
        <v>6547.3122</v>
      </c>
      <c r="P25" s="24" t="n">
        <v>35197.78158</v>
      </c>
      <c r="Q25" s="24" t="n">
        <v>17598.89079</v>
      </c>
      <c r="R25" s="24" t="n">
        <v>236357.97042</v>
      </c>
      <c r="S25" s="24" t="n">
        <v>844746.75792</v>
      </c>
      <c r="T25" s="24" t="n">
        <v>5672591.290080001</v>
      </c>
      <c r="U25" t="inlineStr">
        <is>
          <t>target</t>
        </is>
      </c>
      <c r="V25" s="22" t="n">
        <v>0.92</v>
      </c>
      <c r="W25" t="inlineStr">
        <is>
          <t>hcris_nmrc_agency_per_hospital</t>
        </is>
      </c>
      <c r="X25" t="b">
        <v>0</v>
      </c>
    </row>
    <row r="26">
      <c r="A26" t="inlineStr">
        <is>
          <t>230254</t>
        </is>
      </c>
      <c r="B26" t="inlineStr">
        <is>
          <t>ASCENSION PROVIDENCE ROCHESTER HOSPITAL</t>
        </is>
      </c>
      <c r="C26" t="inlineStr">
        <is>
          <t>ROCHESTER</t>
        </is>
      </c>
      <c r="D26" t="inlineStr">
        <is>
          <t>MI</t>
        </is>
      </c>
      <c r="E26" t="inlineStr">
        <is>
          <t>Ascension</t>
        </is>
      </c>
      <c r="F26" s="22" t="n">
        <v>110.2</v>
      </c>
      <c r="G26" s="23" t="n">
        <v>49.74502500000001</v>
      </c>
      <c r="H26" s="23" t="n">
        <v>52.76</v>
      </c>
      <c r="I26" s="23" t="n">
        <v>3.014974999999993</v>
      </c>
      <c r="J26" s="24" t="n">
        <v>975.0078</v>
      </c>
      <c r="K26" s="24" t="n">
        <v>487.5039</v>
      </c>
      <c r="L26" s="24" t="n">
        <v>487.5039</v>
      </c>
      <c r="M26" s="25" t="n">
        <v>0.5</v>
      </c>
      <c r="N26" s="24" t="n">
        <v>470.3360999999989</v>
      </c>
      <c r="O26" s="24" t="n">
        <v>-17.16780000000119</v>
      </c>
      <c r="P26" s="24" t="n">
        <v>107487.1397423996</v>
      </c>
      <c r="Q26" s="24" t="n">
        <v>53743.56987119978</v>
      </c>
      <c r="R26" s="24" t="n">
        <v>-1892.618415636978</v>
      </c>
      <c r="S26" s="24" t="n">
        <v>2579691.35381759</v>
      </c>
      <c r="T26" s="24" t="n">
        <v>-45422.84197528748</v>
      </c>
      <c r="U26" t="inlineStr">
        <is>
          <t>target</t>
        </is>
      </c>
      <c r="V26" s="22" t="n">
        <v>0.92</v>
      </c>
      <c r="W26" t="inlineStr">
        <is>
          <t>hcris_nmrc_agency_per_hospital</t>
        </is>
      </c>
      <c r="X26" t="b">
        <v>0</v>
      </c>
    </row>
    <row r="27">
      <c r="A27" t="inlineStr">
        <is>
          <t>231315</t>
        </is>
      </c>
      <c r="B27" t="inlineStr">
        <is>
          <t>ASCENSION BORGESS LEE HOSPITAL</t>
        </is>
      </c>
      <c r="C27" t="inlineStr">
        <is>
          <t>DOWAGIAC</t>
        </is>
      </c>
      <c r="D27" t="inlineStr">
        <is>
          <t>MI</t>
        </is>
      </c>
      <c r="E27" t="inlineStr">
        <is>
          <t>Ascension</t>
        </is>
      </c>
      <c r="F27" s="22" t="n">
        <v>15.2</v>
      </c>
      <c r="G27" s="23" t="n">
        <v>51.0559</v>
      </c>
      <c r="H27" s="23" t="n">
        <v>95.03</v>
      </c>
      <c r="I27" s="23" t="n">
        <v>43.9741</v>
      </c>
      <c r="J27" s="24" t="n">
        <v>969.0408000000001</v>
      </c>
      <c r="K27" s="24" t="n">
        <v>484.5204000000001</v>
      </c>
      <c r="L27" s="24" t="n">
        <v>484.5204000000001</v>
      </c>
      <c r="M27" s="25" t="n">
        <v>0.5</v>
      </c>
      <c r="N27" s="24" t="n">
        <v>6859.9596</v>
      </c>
      <c r="O27" s="24" t="n">
        <v>6375.439200000001</v>
      </c>
      <c r="P27" s="24" t="n">
        <v>14729.42016</v>
      </c>
      <c r="Q27" s="24" t="n">
        <v>7364.710080000001</v>
      </c>
      <c r="R27" s="24" t="n">
        <v>96906.67584000001</v>
      </c>
      <c r="S27" s="24" t="n">
        <v>353506.08384</v>
      </c>
      <c r="T27" s="24" t="n">
        <v>2325760.22016</v>
      </c>
      <c r="U27" t="inlineStr">
        <is>
          <t>target</t>
        </is>
      </c>
      <c r="V27" s="22" t="n">
        <v>0.85</v>
      </c>
      <c r="W27" t="inlineStr">
        <is>
          <t>hcris_derived_with_state_agency</t>
        </is>
      </c>
      <c r="X27" t="b">
        <v>0</v>
      </c>
    </row>
    <row r="28">
      <c r="A28" t="inlineStr">
        <is>
          <t>231328</t>
        </is>
      </c>
      <c r="B28" t="inlineStr">
        <is>
          <t>ASCENSION BORGESS ALLEGAN HOSPITAL</t>
        </is>
      </c>
      <c r="C28" t="inlineStr">
        <is>
          <t>ALLEGAN</t>
        </is>
      </c>
      <c r="D28" t="inlineStr">
        <is>
          <t>MI</t>
        </is>
      </c>
      <c r="E28" t="inlineStr">
        <is>
          <t>Ascension</t>
        </is>
      </c>
      <c r="F28" s="22" t="n">
        <v>29.9</v>
      </c>
      <c r="G28" s="23" t="n">
        <v>50.4459</v>
      </c>
      <c r="H28" s="23" t="n">
        <v>95.03</v>
      </c>
      <c r="I28" s="23" t="n">
        <v>44.5841</v>
      </c>
      <c r="J28" s="24" t="n">
        <v>969.0408000000001</v>
      </c>
      <c r="K28" s="24" t="n">
        <v>484.5204000000001</v>
      </c>
      <c r="L28" s="24" t="n">
        <v>484.5204000000001</v>
      </c>
      <c r="M28" s="25" t="n">
        <v>0.5</v>
      </c>
      <c r="N28" s="24" t="n">
        <v>6955.1196</v>
      </c>
      <c r="O28" s="24" t="n">
        <v>6470.599200000001</v>
      </c>
      <c r="P28" s="24" t="n">
        <v>28974.31992</v>
      </c>
      <c r="Q28" s="24" t="n">
        <v>14487.15996</v>
      </c>
      <c r="R28" s="24" t="n">
        <v>193470.91608</v>
      </c>
      <c r="S28" s="24" t="n">
        <v>695383.67808</v>
      </c>
      <c r="T28" s="24" t="n">
        <v>4643301.98592</v>
      </c>
      <c r="U28" t="inlineStr">
        <is>
          <t>target</t>
        </is>
      </c>
      <c r="V28" s="22" t="n">
        <v>0.85</v>
      </c>
      <c r="W28" t="inlineStr">
        <is>
          <t>hcris_derived_with_state_agency</t>
        </is>
      </c>
      <c r="X28" t="b">
        <v>0</v>
      </c>
    </row>
    <row r="29">
      <c r="A29" t="inlineStr">
        <is>
          <t>370018</t>
        </is>
      </c>
      <c r="B29" t="inlineStr">
        <is>
          <t>ASCENSION ST JOHN JANE PHILLIPS</t>
        </is>
      </c>
      <c r="C29" t="inlineStr">
        <is>
          <t>BARTLESVILLE</t>
        </is>
      </c>
      <c r="D29" t="inlineStr">
        <is>
          <t>OK</t>
        </is>
      </c>
      <c r="E29" t="inlineStr">
        <is>
          <t>Ascension</t>
        </is>
      </c>
      <c r="F29" s="22" t="n">
        <v>10.3</v>
      </c>
      <c r="G29" s="23" t="n">
        <v>74.67907</v>
      </c>
      <c r="H29" s="23" t="n">
        <v>74.67907</v>
      </c>
      <c r="I29" s="23" t="n">
        <v>0</v>
      </c>
      <c r="J29" s="24" t="n">
        <v>0</v>
      </c>
      <c r="K29" s="24" t="n">
        <v>720.57492</v>
      </c>
      <c r="L29" s="24" t="n">
        <v>-720.57492</v>
      </c>
      <c r="M29" s="25" t="n">
        <v>0</v>
      </c>
      <c r="N29" s="24" t="n">
        <v>0</v>
      </c>
      <c r="O29" s="24" t="n">
        <v>720.57492</v>
      </c>
      <c r="P29" s="24" t="n">
        <v>0</v>
      </c>
      <c r="Q29" s="24" t="n">
        <v>0</v>
      </c>
      <c r="R29" s="24" t="n">
        <v>0</v>
      </c>
      <c r="S29" s="24" t="n">
        <v>0</v>
      </c>
      <c r="T29" s="24" t="n">
        <v>0</v>
      </c>
      <c r="U29" t="inlineStr">
        <is>
          <t>manual_review</t>
        </is>
      </c>
      <c r="V29" s="22" t="n">
        <v>0.92</v>
      </c>
      <c r="W29" t="inlineStr">
        <is>
          <t>hcris_nmrc_agency_per_hospital</t>
        </is>
      </c>
      <c r="X29" t="b">
        <v>1</v>
      </c>
    </row>
    <row r="30">
      <c r="A30" t="inlineStr">
        <is>
          <t>370114</t>
        </is>
      </c>
      <c r="B30" t="inlineStr">
        <is>
          <t>ASCENSION ST JOHN MEDICAL CENTER</t>
        </is>
      </c>
      <c r="C30" t="inlineStr">
        <is>
          <t>TULSA</t>
        </is>
      </c>
      <c r="D30" t="inlineStr">
        <is>
          <t>OK</t>
        </is>
      </c>
      <c r="E30" t="inlineStr">
        <is>
          <t>Ascension</t>
        </is>
      </c>
      <c r="F30" s="22" t="n">
        <v>129.5</v>
      </c>
      <c r="G30" s="23" t="n">
        <v>73.705685</v>
      </c>
      <c r="H30" s="23" t="n">
        <v>73.705685</v>
      </c>
      <c r="I30" s="23" t="n">
        <v>0</v>
      </c>
      <c r="J30" s="24" t="n">
        <v>0</v>
      </c>
      <c r="K30" s="24" t="n">
        <v>707.56686</v>
      </c>
      <c r="L30" s="24" t="n">
        <v>-707.56686</v>
      </c>
      <c r="M30" s="25" t="n">
        <v>0</v>
      </c>
      <c r="N30" s="24" t="n">
        <v>0</v>
      </c>
      <c r="O30" s="24" t="n">
        <v>707.56686</v>
      </c>
      <c r="P30" s="24" t="n">
        <v>0</v>
      </c>
      <c r="Q30" s="24" t="n">
        <v>0</v>
      </c>
      <c r="R30" s="24" t="n">
        <v>0</v>
      </c>
      <c r="S30" s="24" t="n">
        <v>0</v>
      </c>
      <c r="T30" s="24" t="n">
        <v>0</v>
      </c>
      <c r="U30" t="inlineStr">
        <is>
          <t>manual_review</t>
        </is>
      </c>
      <c r="V30" s="22" t="n">
        <v>0.92</v>
      </c>
      <c r="W30" t="inlineStr">
        <is>
          <t>hcris_nmrc_agency_per_hospital</t>
        </is>
      </c>
      <c r="X30" t="b">
        <v>1</v>
      </c>
    </row>
    <row r="31">
      <c r="A31" t="inlineStr">
        <is>
          <t>370235</t>
        </is>
      </c>
      <c r="B31" t="inlineStr">
        <is>
          <t>ASCENSION ST JOHN BROKEN ARROW</t>
        </is>
      </c>
      <c r="C31" t="inlineStr">
        <is>
          <t>BROKEN ARROW</t>
        </is>
      </c>
      <c r="D31" t="inlineStr">
        <is>
          <t>OK</t>
        </is>
      </c>
      <c r="E31" t="inlineStr">
        <is>
          <t>Ascension</t>
        </is>
      </c>
      <c r="F31" s="22" t="n">
        <v>3.6</v>
      </c>
      <c r="G31" s="23" t="n">
        <v>69.790995</v>
      </c>
      <c r="H31" s="23" t="n">
        <v>69.790995</v>
      </c>
      <c r="I31" s="23" t="n">
        <v>0</v>
      </c>
      <c r="J31" s="24" t="n">
        <v>0</v>
      </c>
      <c r="K31" s="24" t="n">
        <v>666.27522</v>
      </c>
      <c r="L31" s="24" t="n">
        <v>-666.27522</v>
      </c>
      <c r="M31" s="25" t="n">
        <v>0</v>
      </c>
      <c r="N31" s="24" t="n">
        <v>0</v>
      </c>
      <c r="O31" s="24" t="n">
        <v>666.27522</v>
      </c>
      <c r="P31" s="24" t="n">
        <v>0</v>
      </c>
      <c r="Q31" s="24" t="n">
        <v>0</v>
      </c>
      <c r="R31" s="24" t="n">
        <v>0</v>
      </c>
      <c r="S31" s="24" t="n">
        <v>0</v>
      </c>
      <c r="T31" s="24" t="n">
        <v>0</v>
      </c>
      <c r="U31" t="inlineStr">
        <is>
          <t>manual_review</t>
        </is>
      </c>
      <c r="V31" s="22" t="n">
        <v>0.92</v>
      </c>
      <c r="W31" t="inlineStr">
        <is>
          <t>hcris_nmrc_agency_per_hospital</t>
        </is>
      </c>
      <c r="X31" t="b">
        <v>1</v>
      </c>
    </row>
    <row r="32">
      <c r="A32" t="inlineStr">
        <is>
          <t>371305</t>
        </is>
      </c>
      <c r="B32" t="inlineStr">
        <is>
          <t>ASCENSION ST JOHN NOWATA</t>
        </is>
      </c>
      <c r="C32" t="inlineStr">
        <is>
          <t>NOWATA</t>
        </is>
      </c>
      <c r="D32" t="inlineStr">
        <is>
          <t>OK</t>
        </is>
      </c>
      <c r="E32" t="inlineStr">
        <is>
          <t>Ascension</t>
        </is>
      </c>
      <c r="F32" s="22" t="n">
        <v>7.6</v>
      </c>
      <c r="G32" s="23" t="n">
        <v>54.297925</v>
      </c>
      <c r="H32" s="23" t="n">
        <v>83.81</v>
      </c>
      <c r="I32" s="23" t="n">
        <v>29.512075</v>
      </c>
      <c r="J32" s="24" t="n">
        <v>941.5926000000003</v>
      </c>
      <c r="K32" s="24" t="n">
        <v>470.7963000000001</v>
      </c>
      <c r="L32" s="24" t="n">
        <v>470.7963000000001</v>
      </c>
      <c r="M32" s="25" t="n">
        <v>0.5</v>
      </c>
      <c r="N32" s="24" t="n">
        <v>4603.8837</v>
      </c>
      <c r="O32" s="24" t="n">
        <v>4133.0874</v>
      </c>
      <c r="P32" s="24" t="n">
        <v>7156.103760000002</v>
      </c>
      <c r="Q32" s="24" t="n">
        <v>3578.051880000001</v>
      </c>
      <c r="R32" s="24" t="n">
        <v>31411.46424</v>
      </c>
      <c r="S32" s="24" t="n">
        <v>171746.49024</v>
      </c>
      <c r="T32" s="24" t="n">
        <v>753875.14176</v>
      </c>
      <c r="U32" t="inlineStr">
        <is>
          <t>target</t>
        </is>
      </c>
      <c r="V32" s="22" t="n">
        <v>0.85</v>
      </c>
      <c r="W32" t="inlineStr">
        <is>
          <t>hcris_derived_with_state_agency</t>
        </is>
      </c>
      <c r="X32" t="b">
        <v>0</v>
      </c>
    </row>
    <row r="33">
      <c r="A33" t="inlineStr">
        <is>
          <t>371312</t>
        </is>
      </c>
      <c r="B33" t="inlineStr">
        <is>
          <t>ASCENSION ST JOHN SAPULPA</t>
        </is>
      </c>
      <c r="C33" t="inlineStr">
        <is>
          <t>SAPULPA</t>
        </is>
      </c>
      <c r="D33" t="inlineStr">
        <is>
          <t>OK</t>
        </is>
      </c>
      <c r="E33" t="inlineStr">
        <is>
          <t>Ascension</t>
        </is>
      </c>
      <c r="F33" s="22" t="n">
        <v>30.2</v>
      </c>
      <c r="G33" s="23" t="n">
        <v>54.307925</v>
      </c>
      <c r="H33" s="23" t="n">
        <v>83.81</v>
      </c>
      <c r="I33" s="23" t="n">
        <v>29.502075</v>
      </c>
      <c r="J33" s="24" t="n">
        <v>941.5926000000003</v>
      </c>
      <c r="K33" s="24" t="n">
        <v>470.7963000000001</v>
      </c>
      <c r="L33" s="24" t="n">
        <v>470.7963000000001</v>
      </c>
      <c r="M33" s="25" t="n">
        <v>0.5</v>
      </c>
      <c r="N33" s="24" t="n">
        <v>4602.3237</v>
      </c>
      <c r="O33" s="24" t="n">
        <v>4131.5274</v>
      </c>
      <c r="P33" s="24" t="n">
        <v>28436.09652000001</v>
      </c>
      <c r="Q33" s="24" t="n">
        <v>14218.04826</v>
      </c>
      <c r="R33" s="24" t="n">
        <v>124772.12748</v>
      </c>
      <c r="S33" s="24" t="n">
        <v>682466.3164800002</v>
      </c>
      <c r="T33" s="24" t="n">
        <v>2994531.05952</v>
      </c>
      <c r="U33" t="inlineStr">
        <is>
          <t>target</t>
        </is>
      </c>
      <c r="V33" s="22" t="n">
        <v>0.85</v>
      </c>
      <c r="W33" t="inlineStr">
        <is>
          <t>hcris_derived_with_state_agency</t>
        </is>
      </c>
      <c r="X33" t="b">
        <v>0</v>
      </c>
    </row>
    <row r="34">
      <c r="A34" t="inlineStr">
        <is>
          <t>440003</t>
        </is>
      </c>
      <c r="B34" t="inlineStr">
        <is>
          <t>HIGHPOINT HEALTH-SUMNER WITH ASCENSION SAINT THOMA</t>
        </is>
      </c>
      <c r="C34" t="inlineStr">
        <is>
          <t>GALLATIN</t>
        </is>
      </c>
      <c r="D34" t="inlineStr">
        <is>
          <t>TN</t>
        </is>
      </c>
      <c r="E34" t="inlineStr">
        <is>
          <t>Ascension</t>
        </is>
      </c>
      <c r="F34" s="22" t="n">
        <v>12.4</v>
      </c>
      <c r="G34" s="23" t="n">
        <v>44.989025</v>
      </c>
      <c r="H34" s="23" t="n">
        <v>79.68000000000001</v>
      </c>
      <c r="I34" s="23" t="n">
        <v>34.69097500000001</v>
      </c>
      <c r="J34" s="24" t="n">
        <v>879.5358</v>
      </c>
      <c r="K34" s="24" t="n">
        <v>439.7679</v>
      </c>
      <c r="L34" s="24" t="n">
        <v>439.7679</v>
      </c>
      <c r="M34" s="25" t="n">
        <v>0.5</v>
      </c>
      <c r="N34" s="24" t="n">
        <v>5411.792100000001</v>
      </c>
      <c r="O34" s="24" t="n">
        <v>4972.024200000002</v>
      </c>
      <c r="P34" s="24" t="n">
        <v>10909.63948655873</v>
      </c>
      <c r="Q34" s="24" t="n">
        <v>5454.819743279367</v>
      </c>
      <c r="R34" s="24" t="n">
        <v>61672.29524988707</v>
      </c>
      <c r="S34" s="24" t="n">
        <v>261831.3476774096</v>
      </c>
      <c r="T34" s="24" t="n">
        <v>1480135.08599729</v>
      </c>
      <c r="U34" t="inlineStr">
        <is>
          <t>target</t>
        </is>
      </c>
      <c r="V34" s="22" t="n">
        <v>0.92</v>
      </c>
      <c r="W34" t="inlineStr">
        <is>
          <t>hcris_nmrc_agency_per_hospital</t>
        </is>
      </c>
      <c r="X34" t="b">
        <v>0</v>
      </c>
    </row>
    <row r="35">
      <c r="A35" t="inlineStr">
        <is>
          <t>440082</t>
        </is>
      </c>
      <c r="B35" t="inlineStr">
        <is>
          <t>ASCENSION SAINT THOMAS HOSPITAL</t>
        </is>
      </c>
      <c r="C35" t="inlineStr">
        <is>
          <t>NASHVILLE</t>
        </is>
      </c>
      <c r="D35" t="inlineStr">
        <is>
          <t>TN</t>
        </is>
      </c>
      <c r="E35" t="inlineStr">
        <is>
          <t>Ascension</t>
        </is>
      </c>
      <c r="F35" s="22" t="n">
        <v>282.5</v>
      </c>
      <c r="G35" s="23" t="n">
        <v>46.209025</v>
      </c>
      <c r="H35" s="23" t="n">
        <v>56.43</v>
      </c>
      <c r="I35" s="23" t="n">
        <v>10.220975</v>
      </c>
      <c r="J35" s="24" t="n">
        <v>879.5358</v>
      </c>
      <c r="K35" s="24" t="n">
        <v>439.7679</v>
      </c>
      <c r="L35" s="24" t="n">
        <v>439.7679</v>
      </c>
      <c r="M35" s="25" t="n">
        <v>0.5</v>
      </c>
      <c r="N35" s="24" t="n">
        <v>1594.4721</v>
      </c>
      <c r="O35" s="24" t="n">
        <v>1154.704200000001</v>
      </c>
      <c r="P35" s="24" t="n">
        <v>248435.3469263158</v>
      </c>
      <c r="Q35" s="24" t="n">
        <v>124217.6734631579</v>
      </c>
      <c r="R35" s="24" t="n">
        <v>326159.9340518875</v>
      </c>
      <c r="S35" s="24" t="n">
        <v>5962448.326231579</v>
      </c>
      <c r="T35" s="24" t="n">
        <v>7827838.4172453</v>
      </c>
      <c r="U35" t="inlineStr">
        <is>
          <t>target</t>
        </is>
      </c>
      <c r="V35" s="22" t="n">
        <v>0.92</v>
      </c>
      <c r="W35" t="inlineStr">
        <is>
          <t>hcris_nmrc_agency_per_hospital</t>
        </is>
      </c>
      <c r="X35" t="b">
        <v>0</v>
      </c>
    </row>
    <row r="36">
      <c r="A36" t="inlineStr">
        <is>
          <t>441301</t>
        </is>
      </c>
      <c r="B36" t="inlineStr">
        <is>
          <t>HIGHPOINT HEALTH-TROUSDALE WITH ASCENSION SAINT</t>
        </is>
      </c>
      <c r="C36" t="inlineStr">
        <is>
          <t>HARTSVILLE</t>
        </is>
      </c>
      <c r="D36" t="inlineStr">
        <is>
          <t>TN</t>
        </is>
      </c>
      <c r="E36" t="inlineStr">
        <is>
          <t>Ascension</t>
        </is>
      </c>
      <c r="F36" s="22" t="n">
        <v>15.9</v>
      </c>
      <c r="G36" s="23" t="n">
        <v>50.719025</v>
      </c>
      <c r="H36" s="23" t="n">
        <v>83.79000000000001</v>
      </c>
      <c r="I36" s="23" t="n">
        <v>33.070975</v>
      </c>
      <c r="J36" s="24" t="n">
        <v>879.5358</v>
      </c>
      <c r="K36" s="24" t="n">
        <v>439.7679</v>
      </c>
      <c r="L36" s="24" t="n">
        <v>439.7679</v>
      </c>
      <c r="M36" s="25" t="n">
        <v>0.5</v>
      </c>
      <c r="N36" s="24" t="n">
        <v>5159.0721</v>
      </c>
      <c r="O36" s="24" t="n">
        <v>4719.3042</v>
      </c>
      <c r="P36" s="24" t="n">
        <v>13984.61922</v>
      </c>
      <c r="Q36" s="24" t="n">
        <v>6992.30961</v>
      </c>
      <c r="R36" s="24" t="n">
        <v>75036.93678</v>
      </c>
      <c r="S36" s="24" t="n">
        <v>335630.86128</v>
      </c>
      <c r="T36" s="24" t="n">
        <v>1800886.48272</v>
      </c>
      <c r="U36" t="inlineStr">
        <is>
          <t>target</t>
        </is>
      </c>
      <c r="V36" s="22" t="n">
        <v>0.85</v>
      </c>
      <c r="W36" t="inlineStr">
        <is>
          <t>hcris_derived_with_state_agency</t>
        </is>
      </c>
      <c r="X36" t="b">
        <v>0</v>
      </c>
    </row>
    <row r="37">
      <c r="A37" t="inlineStr">
        <is>
          <t>441303</t>
        </is>
      </c>
      <c r="B37" t="inlineStr">
        <is>
          <t>ASCENSION SAINT THOMAS THREE RIVERS</t>
        </is>
      </c>
      <c r="C37" t="inlineStr">
        <is>
          <t>WAVERLY</t>
        </is>
      </c>
      <c r="D37" t="inlineStr">
        <is>
          <t>TN</t>
        </is>
      </c>
      <c r="E37" t="inlineStr">
        <is>
          <t>Ascension</t>
        </is>
      </c>
      <c r="F37" s="22" t="n">
        <v>16.9</v>
      </c>
      <c r="G37" s="23" t="n">
        <v>49.2787</v>
      </c>
      <c r="H37" s="23" t="n">
        <v>83.79000000000001</v>
      </c>
      <c r="I37" s="23" t="n">
        <v>34.51130000000001</v>
      </c>
      <c r="J37" s="24" t="n">
        <v>854.4743999999999</v>
      </c>
      <c r="K37" s="24" t="n">
        <v>427.2372</v>
      </c>
      <c r="L37" s="24" t="n">
        <v>427.2372</v>
      </c>
      <c r="M37" s="25" t="n">
        <v>0.5</v>
      </c>
      <c r="N37" s="24" t="n">
        <v>5383.7628</v>
      </c>
      <c r="O37" s="24" t="n">
        <v>4956.5256</v>
      </c>
      <c r="P37" s="24" t="n">
        <v>14440.61736</v>
      </c>
      <c r="Q37" s="24" t="n">
        <v>7220.308679999999</v>
      </c>
      <c r="R37" s="24" t="n">
        <v>83765.28263999999</v>
      </c>
      <c r="S37" s="24" t="n">
        <v>346574.8166399999</v>
      </c>
      <c r="T37" s="24" t="n">
        <v>2010366.78336</v>
      </c>
      <c r="U37" t="inlineStr">
        <is>
          <t>target</t>
        </is>
      </c>
      <c r="V37" s="22" t="n">
        <v>0.85</v>
      </c>
      <c r="W37" t="inlineStr">
        <is>
          <t>hcris_derived_with_state_agency</t>
        </is>
      </c>
      <c r="X37" t="b">
        <v>0</v>
      </c>
    </row>
    <row r="38">
      <c r="A38" t="inlineStr">
        <is>
          <t>441307</t>
        </is>
      </c>
      <c r="B38" t="inlineStr">
        <is>
          <t>HIGHPOINT HEALTH-RIVERVIEW WITH ASCENSION SAINT TH</t>
        </is>
      </c>
      <c r="C38" t="inlineStr">
        <is>
          <t>CARTHAGE</t>
        </is>
      </c>
      <c r="D38" t="inlineStr">
        <is>
          <t>TN</t>
        </is>
      </c>
      <c r="E38" t="inlineStr">
        <is>
          <t>Ascension</t>
        </is>
      </c>
      <c r="F38" s="22" t="n">
        <v>41.3</v>
      </c>
      <c r="G38" s="23" t="n">
        <v>50.72902500000001</v>
      </c>
      <c r="H38" s="23" t="n">
        <v>83.79000000000001</v>
      </c>
      <c r="I38" s="23" t="n">
        <v>33.060975</v>
      </c>
      <c r="J38" s="24" t="n">
        <v>879.5358</v>
      </c>
      <c r="K38" s="24" t="n">
        <v>439.7679</v>
      </c>
      <c r="L38" s="24" t="n">
        <v>439.7679</v>
      </c>
      <c r="M38" s="25" t="n">
        <v>0.5</v>
      </c>
      <c r="N38" s="24" t="n">
        <v>5157.5121</v>
      </c>
      <c r="O38" s="24" t="n">
        <v>4717.7442</v>
      </c>
      <c r="P38" s="24" t="n">
        <v>36324.82853999999</v>
      </c>
      <c r="Q38" s="24" t="n">
        <v>18162.41427</v>
      </c>
      <c r="R38" s="24" t="n">
        <v>194842.83546</v>
      </c>
      <c r="S38" s="24" t="n">
        <v>871795.8849599999</v>
      </c>
      <c r="T38" s="24" t="n">
        <v>4676228.051039999</v>
      </c>
      <c r="U38" t="inlineStr">
        <is>
          <t>target</t>
        </is>
      </c>
      <c r="V38" s="22" t="n">
        <v>0.85</v>
      </c>
      <c r="W38" t="inlineStr">
        <is>
          <t>hcris_derived_with_state_agency</t>
        </is>
      </c>
      <c r="X38" t="b">
        <v>0</v>
      </c>
    </row>
    <row r="39">
      <c r="A39" t="inlineStr">
        <is>
          <t>444030</t>
        </is>
      </c>
      <c r="B39" t="inlineStr">
        <is>
          <t>ASCENSION SAINT THOMAS BEHAVIORAL HEALTH HOSPITAL</t>
        </is>
      </c>
      <c r="C39" t="inlineStr">
        <is>
          <t>NASHVILLE</t>
        </is>
      </c>
      <c r="D39" t="inlineStr">
        <is>
          <t>TN</t>
        </is>
      </c>
      <c r="E39" t="inlineStr">
        <is>
          <t>Ascension</t>
        </is>
      </c>
      <c r="F39" s="22" t="n">
        <v>30.1</v>
      </c>
      <c r="G39" s="23" t="n">
        <v>50.719025</v>
      </c>
      <c r="H39" s="23" t="n">
        <v>83.79000000000001</v>
      </c>
      <c r="I39" s="23" t="n">
        <v>33.070975</v>
      </c>
      <c r="J39" s="24" t="n">
        <v>879.5358</v>
      </c>
      <c r="K39" s="24" t="n">
        <v>439.7679</v>
      </c>
      <c r="L39" s="24" t="n">
        <v>439.7679</v>
      </c>
      <c r="M39" s="25" t="n">
        <v>0.5</v>
      </c>
      <c r="N39" s="24" t="n">
        <v>5159.0721</v>
      </c>
      <c r="O39" s="24" t="n">
        <v>4719.3042</v>
      </c>
      <c r="P39" s="24" t="n">
        <v>26474.02758</v>
      </c>
      <c r="Q39" s="24" t="n">
        <v>13237.01379</v>
      </c>
      <c r="R39" s="24" t="n">
        <v>142051.05642</v>
      </c>
      <c r="S39" s="24" t="n">
        <v>635376.66192</v>
      </c>
      <c r="T39" s="24" t="n">
        <v>3409225.35408</v>
      </c>
      <c r="U39" t="inlineStr">
        <is>
          <t>target</t>
        </is>
      </c>
      <c r="V39" s="22" t="n">
        <v>0.85</v>
      </c>
      <c r="W39" t="inlineStr">
        <is>
          <t>hcris_derived_with_state_agency</t>
        </is>
      </c>
      <c r="X39" t="b">
        <v>0</v>
      </c>
    </row>
    <row r="40">
      <c r="A40" t="inlineStr">
        <is>
          <t>450042</t>
        </is>
      </c>
      <c r="B40" t="inlineStr">
        <is>
          <t>ASCENSION PROVIDENCE</t>
        </is>
      </c>
      <c r="C40" t="inlineStr">
        <is>
          <t>WACO</t>
        </is>
      </c>
      <c r="D40" t="inlineStr">
        <is>
          <t>TX</t>
        </is>
      </c>
      <c r="E40" t="inlineStr">
        <is>
          <t>Ascension</t>
        </is>
      </c>
      <c r="F40" s="22" t="n">
        <v>102.5</v>
      </c>
      <c r="G40" s="23" t="n">
        <v>79.48633500000001</v>
      </c>
      <c r="H40" s="23" t="n">
        <v>79.48633500000001</v>
      </c>
      <c r="I40" s="23" t="n">
        <v>0</v>
      </c>
      <c r="J40" s="24" t="n">
        <v>0</v>
      </c>
      <c r="K40" s="24" t="n">
        <v>732.62826</v>
      </c>
      <c r="L40" s="24" t="n">
        <v>-732.62826</v>
      </c>
      <c r="M40" s="25" t="n">
        <v>0</v>
      </c>
      <c r="N40" s="24" t="n">
        <v>0</v>
      </c>
      <c r="O40" s="24" t="n">
        <v>732.62826</v>
      </c>
      <c r="P40" s="24" t="n">
        <v>0</v>
      </c>
      <c r="Q40" s="24" t="n">
        <v>0</v>
      </c>
      <c r="R40" s="24" t="n">
        <v>0</v>
      </c>
      <c r="S40" s="24" t="n">
        <v>0</v>
      </c>
      <c r="T40" s="24" t="n">
        <v>0</v>
      </c>
      <c r="U40" t="inlineStr">
        <is>
          <t>manual_review</t>
        </is>
      </c>
      <c r="V40" s="22" t="n">
        <v>0.92</v>
      </c>
      <c r="W40" t="inlineStr">
        <is>
          <t>hcris_nmrc_agency_per_hospital</t>
        </is>
      </c>
      <c r="X40" t="b">
        <v>1</v>
      </c>
    </row>
    <row r="41">
      <c r="A41" t="inlineStr">
        <is>
          <t>450056</t>
        </is>
      </c>
      <c r="B41" t="inlineStr">
        <is>
          <t>ASCENSION SETON MEDICAL CENTER AUSTIN</t>
        </is>
      </c>
      <c r="C41" t="inlineStr">
        <is>
          <t>AUSTIN</t>
        </is>
      </c>
      <c r="D41" t="inlineStr">
        <is>
          <t>TX</t>
        </is>
      </c>
      <c r="E41" t="inlineStr">
        <is>
          <t>Ascension</t>
        </is>
      </c>
      <c r="F41" s="22" t="n">
        <v>191.3</v>
      </c>
      <c r="G41" s="23" t="n">
        <v>57.315175</v>
      </c>
      <c r="H41" s="23" t="n">
        <v>57.315175</v>
      </c>
      <c r="I41" s="23" t="n">
        <v>0</v>
      </c>
      <c r="J41" s="24" t="n">
        <v>0</v>
      </c>
      <c r="K41" s="24" t="n">
        <v>548.3673</v>
      </c>
      <c r="L41" s="24" t="n">
        <v>-548.3673</v>
      </c>
      <c r="M41" s="25" t="n">
        <v>0</v>
      </c>
      <c r="N41" s="24" t="n">
        <v>0</v>
      </c>
      <c r="O41" s="24" t="n">
        <v>548.3673</v>
      </c>
      <c r="P41" s="24" t="n">
        <v>0</v>
      </c>
      <c r="Q41" s="24" t="n">
        <v>0</v>
      </c>
      <c r="R41" s="24" t="n">
        <v>0</v>
      </c>
      <c r="S41" s="24" t="n">
        <v>0</v>
      </c>
      <c r="T41" s="24" t="n">
        <v>0</v>
      </c>
      <c r="U41" t="inlineStr">
        <is>
          <t>manual_review</t>
        </is>
      </c>
      <c r="V41" s="22" t="n">
        <v>0.92</v>
      </c>
      <c r="W41" t="inlineStr">
        <is>
          <t>hcris_nmrc_agency_per_hospital</t>
        </is>
      </c>
      <c r="X41" t="b">
        <v>1</v>
      </c>
    </row>
    <row r="42">
      <c r="A42" t="inlineStr">
        <is>
          <t>450865</t>
        </is>
      </c>
      <c r="B42" t="inlineStr">
        <is>
          <t>ASCENSION SETON  SOUTHWEST</t>
        </is>
      </c>
      <c r="C42" t="inlineStr">
        <is>
          <t>AUSTIN</t>
        </is>
      </c>
      <c r="D42" t="inlineStr">
        <is>
          <t>TX</t>
        </is>
      </c>
      <c r="E42" t="inlineStr">
        <is>
          <t>Ascension</t>
        </is>
      </c>
      <c r="F42" s="22" t="n">
        <v>0.5</v>
      </c>
      <c r="G42" s="23" t="n">
        <v>59.005175</v>
      </c>
      <c r="H42" s="23" t="n">
        <v>60.8</v>
      </c>
      <c r="I42" s="23" t="n">
        <v>1.794824999999996</v>
      </c>
      <c r="J42" s="24" t="n">
        <v>1096.7346</v>
      </c>
      <c r="K42" s="24" t="n">
        <v>548.3673</v>
      </c>
      <c r="L42" s="24" t="n">
        <v>548.3673</v>
      </c>
      <c r="M42" s="25" t="n">
        <v>0.5</v>
      </c>
      <c r="N42" s="24" t="n">
        <v>279.9926999999993</v>
      </c>
      <c r="O42" s="24" t="n">
        <v>-268.3746000000007</v>
      </c>
      <c r="P42" s="24" t="n">
        <v>568.4939894901316</v>
      </c>
      <c r="Q42" s="24" t="n">
        <v>284.2469947450658</v>
      </c>
      <c r="R42" s="24" t="n">
        <v>-139.1123677796056</v>
      </c>
      <c r="S42" s="24" t="n">
        <v>13643.85574776316</v>
      </c>
      <c r="T42" s="24" t="n">
        <v>-3338.696826710535</v>
      </c>
      <c r="U42" t="inlineStr">
        <is>
          <t>target</t>
        </is>
      </c>
      <c r="V42" s="22" t="n">
        <v>0.92</v>
      </c>
      <c r="W42" t="inlineStr">
        <is>
          <t>hcris_nmrc_agency_per_hospital</t>
        </is>
      </c>
      <c r="X42" t="b">
        <v>0</v>
      </c>
    </row>
    <row r="43">
      <c r="A43" t="inlineStr">
        <is>
          <t>450867</t>
        </is>
      </c>
      <c r="B43" t="inlineStr">
        <is>
          <t>ASCENSION SETON NORTHWEST</t>
        </is>
      </c>
      <c r="C43" t="inlineStr">
        <is>
          <t>AUSTIN</t>
        </is>
      </c>
      <c r="D43" t="inlineStr">
        <is>
          <t>TX</t>
        </is>
      </c>
      <c r="E43" t="inlineStr">
        <is>
          <t>Ascension</t>
        </is>
      </c>
      <c r="F43" s="22" t="n">
        <v>3.6</v>
      </c>
      <c r="G43" s="23" t="n">
        <v>60.115175</v>
      </c>
      <c r="H43" s="23" t="n">
        <v>66.34</v>
      </c>
      <c r="I43" s="23" t="n">
        <v>6.224825000000003</v>
      </c>
      <c r="J43" s="24" t="n">
        <v>1096.7346</v>
      </c>
      <c r="K43" s="24" t="n">
        <v>548.3673</v>
      </c>
      <c r="L43" s="24" t="n">
        <v>548.3673</v>
      </c>
      <c r="M43" s="25" t="n">
        <v>0.5</v>
      </c>
      <c r="N43" s="24" t="n">
        <v>971.0727000000004</v>
      </c>
      <c r="O43" s="24" t="n">
        <v>422.7054000000005</v>
      </c>
      <c r="P43" s="24" t="n">
        <v>3980.632070485379</v>
      </c>
      <c r="Q43" s="24" t="n">
        <v>1990.316035242689</v>
      </c>
      <c r="R43" s="24" t="n">
        <v>1534.222291890264</v>
      </c>
      <c r="S43" s="24" t="n">
        <v>95535.16969164909</v>
      </c>
      <c r="T43" s="24" t="n">
        <v>36821.33500536634</v>
      </c>
      <c r="U43" t="inlineStr">
        <is>
          <t>target</t>
        </is>
      </c>
      <c r="V43" s="22" t="n">
        <v>0.92</v>
      </c>
      <c r="W43" t="inlineStr">
        <is>
          <t>hcris_nmrc_agency_per_hospital</t>
        </is>
      </c>
      <c r="X43" t="b">
        <v>0</v>
      </c>
    </row>
    <row r="44">
      <c r="A44" t="inlineStr">
        <is>
          <t>451365</t>
        </is>
      </c>
      <c r="B44" t="inlineStr">
        <is>
          <t>ASCENSION SETON HIGHLAND LAKES</t>
        </is>
      </c>
      <c r="C44" t="inlineStr">
        <is>
          <t>BURNET</t>
        </is>
      </c>
      <c r="D44" t="inlineStr">
        <is>
          <t>TX</t>
        </is>
      </c>
      <c r="E44" t="inlineStr">
        <is>
          <t>Ascension</t>
        </is>
      </c>
      <c r="F44" s="22" t="n">
        <v>38</v>
      </c>
      <c r="G44" s="23" t="n">
        <v>60.629825</v>
      </c>
      <c r="H44" s="23" t="n">
        <v>108.21</v>
      </c>
      <c r="I44" s="23" t="n">
        <v>47.580175</v>
      </c>
      <c r="J44" s="24" t="n">
        <v>1051.3854</v>
      </c>
      <c r="K44" s="24" t="n">
        <v>525.6926999999999</v>
      </c>
      <c r="L44" s="24" t="n">
        <v>525.6926999999999</v>
      </c>
      <c r="M44" s="25" t="n">
        <v>0.5</v>
      </c>
      <c r="N44" s="24" t="n">
        <v>7422.507299999999</v>
      </c>
      <c r="O44" s="24" t="n">
        <v>6896.814599999999</v>
      </c>
      <c r="P44" s="24" t="n">
        <v>39952.6452</v>
      </c>
      <c r="Q44" s="24" t="n">
        <v>19976.3226</v>
      </c>
      <c r="R44" s="24" t="n">
        <v>262078.9547999999</v>
      </c>
      <c r="S44" s="24" t="n">
        <v>958863.4847999999</v>
      </c>
      <c r="T44" s="24" t="n">
        <v>6289894.915199999</v>
      </c>
      <c r="U44" t="inlineStr">
        <is>
          <t>target</t>
        </is>
      </c>
      <c r="V44" s="22" t="n">
        <v>0.85</v>
      </c>
      <c r="W44" t="inlineStr">
        <is>
          <t>hcris_derived_with_state_agency</t>
        </is>
      </c>
      <c r="X44" t="b">
        <v>0</v>
      </c>
    </row>
    <row r="45">
      <c r="A45" t="inlineStr">
        <is>
          <t>451371</t>
        </is>
      </c>
      <c r="B45" t="inlineStr">
        <is>
          <t>ASCENSION SETON EDGAR B DAVIS</t>
        </is>
      </c>
      <c r="C45" t="inlineStr">
        <is>
          <t>LULING</t>
        </is>
      </c>
      <c r="D45" t="inlineStr">
        <is>
          <t>TX</t>
        </is>
      </c>
      <c r="E45" t="inlineStr">
        <is>
          <t>Ascension</t>
        </is>
      </c>
      <c r="F45" s="22" t="n">
        <v>21.8</v>
      </c>
      <c r="G45" s="23" t="n">
        <v>63.255175</v>
      </c>
      <c r="H45" s="23" t="n">
        <v>108.21</v>
      </c>
      <c r="I45" s="23" t="n">
        <v>44.95482499999999</v>
      </c>
      <c r="J45" s="24" t="n">
        <v>1096.7346</v>
      </c>
      <c r="K45" s="24" t="n">
        <v>548.3673</v>
      </c>
      <c r="L45" s="24" t="n">
        <v>548.3673</v>
      </c>
      <c r="M45" s="25" t="n">
        <v>0.5</v>
      </c>
      <c r="N45" s="24" t="n">
        <v>7012.952699999999</v>
      </c>
      <c r="O45" s="24" t="n">
        <v>6464.585399999999</v>
      </c>
      <c r="P45" s="24" t="n">
        <v>23908.81428</v>
      </c>
      <c r="Q45" s="24" t="n">
        <v>11954.40714</v>
      </c>
      <c r="R45" s="24" t="n">
        <v>140927.96172</v>
      </c>
      <c r="S45" s="24" t="n">
        <v>573811.54272</v>
      </c>
      <c r="T45" s="24" t="n">
        <v>3382271.08128</v>
      </c>
      <c r="U45" t="inlineStr">
        <is>
          <t>target</t>
        </is>
      </c>
      <c r="V45" s="22" t="n">
        <v>0.85</v>
      </c>
      <c r="W45" t="inlineStr">
        <is>
          <t>hcris_derived_with_state_agency</t>
        </is>
      </c>
      <c r="X45" t="b">
        <v>0</v>
      </c>
    </row>
    <row r="46">
      <c r="A46" t="inlineStr">
        <is>
          <t>520009</t>
        </is>
      </c>
      <c r="B46" t="inlineStr">
        <is>
          <t>ASCENSION NE WISCONSIN - ST ELIZABETH CAMPUS</t>
        </is>
      </c>
      <c r="C46" t="inlineStr">
        <is>
          <t>APPLETON</t>
        </is>
      </c>
      <c r="D46" t="inlineStr">
        <is>
          <t>WI</t>
        </is>
      </c>
      <c r="E46" t="inlineStr">
        <is>
          <t>Ascension</t>
        </is>
      </c>
      <c r="F46" s="22" t="n">
        <v>9.9</v>
      </c>
      <c r="G46" s="23" t="n">
        <v>79.76775499999999</v>
      </c>
      <c r="H46" s="23" t="n">
        <v>82.89</v>
      </c>
      <c r="I46" s="23" t="n">
        <v>3.122245000000007</v>
      </c>
      <c r="J46" s="24" t="n">
        <v>1471.93956</v>
      </c>
      <c r="K46" s="24" t="n">
        <v>735.96978</v>
      </c>
      <c r="L46" s="24" t="n">
        <v>735.96978</v>
      </c>
      <c r="M46" s="25" t="n">
        <v>0.5</v>
      </c>
      <c r="N46" s="24" t="n">
        <v>487.070220000001</v>
      </c>
      <c r="O46" s="24" t="n">
        <v>-248.8995599999989</v>
      </c>
      <c r="P46" s="24" t="n">
        <v>14611.10749934853</v>
      </c>
      <c r="Q46" s="24" t="n">
        <v>7305.553749674267</v>
      </c>
      <c r="R46" s="24" t="n">
        <v>-2470.684480890326</v>
      </c>
      <c r="S46" s="24" t="n">
        <v>350666.5799843649</v>
      </c>
      <c r="T46" s="24" t="n">
        <v>-59296.42754136782</v>
      </c>
      <c r="U46" t="inlineStr">
        <is>
          <t>target</t>
        </is>
      </c>
      <c r="V46" s="22" t="n">
        <v>0.92</v>
      </c>
      <c r="W46" t="inlineStr">
        <is>
          <t>hcris_nmrc_agency_per_hospital</t>
        </is>
      </c>
      <c r="X46" t="b">
        <v>0</v>
      </c>
    </row>
    <row r="47">
      <c r="A47" t="inlineStr">
        <is>
          <t>520051</t>
        </is>
      </c>
      <c r="B47" t="inlineStr">
        <is>
          <t>ASCENSION COLUMBIA ST MARYS HOSPITAL MILWAUKEE</t>
        </is>
      </c>
      <c r="C47" t="inlineStr">
        <is>
          <t>MILWAUKEE</t>
        </is>
      </c>
      <c r="D47" t="inlineStr">
        <is>
          <t>WI</t>
        </is>
      </c>
      <c r="E47" t="inlineStr">
        <is>
          <t>Ascension</t>
        </is>
      </c>
      <c r="F47" s="22" t="n">
        <v>210.6</v>
      </c>
      <c r="G47" s="23" t="n">
        <v>54.83655</v>
      </c>
      <c r="H47" s="23" t="n">
        <v>64.59999999999999</v>
      </c>
      <c r="I47" s="23" t="n">
        <v>9.763449999999992</v>
      </c>
      <c r="J47" s="24" t="n">
        <v>1019.1636</v>
      </c>
      <c r="K47" s="24" t="n">
        <v>509.5818000000001</v>
      </c>
      <c r="L47" s="24" t="n">
        <v>509.5818000000001</v>
      </c>
      <c r="M47" s="25" t="n">
        <v>0.5</v>
      </c>
      <c r="N47" s="24" t="n">
        <v>1523.098199999999</v>
      </c>
      <c r="O47" s="24" t="n">
        <v>1013.516399999999</v>
      </c>
      <c r="P47" s="24" t="n">
        <v>214634.9075684211</v>
      </c>
      <c r="Q47" s="24" t="n">
        <v>107317.4537842106</v>
      </c>
      <c r="R47" s="24" t="n">
        <v>213445.6124934982</v>
      </c>
      <c r="S47" s="24" t="n">
        <v>5151237.781642106</v>
      </c>
      <c r="T47" s="24" t="n">
        <v>5122694.699843957</v>
      </c>
      <c r="U47" t="inlineStr">
        <is>
          <t>target</t>
        </is>
      </c>
      <c r="V47" s="22" t="n">
        <v>0.92</v>
      </c>
      <c r="W47" t="inlineStr">
        <is>
          <t>hcris_nmrc_agency_per_hospital</t>
        </is>
      </c>
      <c r="X47" t="b">
        <v>0</v>
      </c>
    </row>
    <row r="48">
      <c r="A48" t="inlineStr">
        <is>
          <t>520078</t>
        </is>
      </c>
      <c r="B48" t="inlineStr">
        <is>
          <t>ASCENSION ST FRANCIS HOSPITAL</t>
        </is>
      </c>
      <c r="C48" t="inlineStr">
        <is>
          <t>MILWAUKEE</t>
        </is>
      </c>
      <c r="D48" t="inlineStr">
        <is>
          <t>WI</t>
        </is>
      </c>
      <c r="E48" t="inlineStr">
        <is>
          <t>Ascension</t>
        </is>
      </c>
      <c r="F48" s="22" t="n">
        <v>32.3</v>
      </c>
      <c r="G48" s="23" t="n">
        <v>58.34655000000001</v>
      </c>
      <c r="H48" s="23" t="n">
        <v>91.93000000000001</v>
      </c>
      <c r="I48" s="23" t="n">
        <v>33.58345</v>
      </c>
      <c r="J48" s="24" t="n">
        <v>1019.1636</v>
      </c>
      <c r="K48" s="24" t="n">
        <v>509.5818000000001</v>
      </c>
      <c r="L48" s="24" t="n">
        <v>509.5818000000001</v>
      </c>
      <c r="M48" s="25" t="n">
        <v>0.5</v>
      </c>
      <c r="N48" s="24" t="n">
        <v>5239.0182</v>
      </c>
      <c r="O48" s="24" t="n">
        <v>4729.4364</v>
      </c>
      <c r="P48" s="24" t="n">
        <v>32923.56633325356</v>
      </c>
      <c r="Q48" s="24" t="n">
        <v>16461.78316662678</v>
      </c>
      <c r="R48" s="24" t="n">
        <v>152782.0587728054</v>
      </c>
      <c r="S48" s="24" t="n">
        <v>790165.5919980855</v>
      </c>
      <c r="T48" s="24" t="n">
        <v>3666769.410547329</v>
      </c>
      <c r="U48" t="inlineStr">
        <is>
          <t>target</t>
        </is>
      </c>
      <c r="V48" s="22" t="n">
        <v>0.92</v>
      </c>
      <c r="W48" t="inlineStr">
        <is>
          <t>hcris_nmrc_agency_per_hospital</t>
        </is>
      </c>
      <c r="X48" t="b">
        <v>0</v>
      </c>
    </row>
    <row r="49">
      <c r="A49" t="inlineStr">
        <is>
          <t>520096</t>
        </is>
      </c>
      <c r="B49" t="inlineStr">
        <is>
          <t>ASCENSION ALL SAINTS HOSPITAL</t>
        </is>
      </c>
      <c r="C49" t="inlineStr">
        <is>
          <t>RACINE</t>
        </is>
      </c>
      <c r="D49" t="inlineStr">
        <is>
          <t>WI</t>
        </is>
      </c>
      <c r="E49" t="inlineStr">
        <is>
          <t>Ascension</t>
        </is>
      </c>
      <c r="F49" s="22" t="n">
        <v>73.59999999999999</v>
      </c>
      <c r="G49" s="23" t="n">
        <v>64.24686</v>
      </c>
      <c r="H49" s="23" t="n">
        <v>64.24686</v>
      </c>
      <c r="I49" s="23" t="n">
        <v>0</v>
      </c>
      <c r="J49" s="24" t="n">
        <v>0</v>
      </c>
      <c r="K49" s="24" t="n">
        <v>587.63016</v>
      </c>
      <c r="L49" s="24" t="n">
        <v>-587.63016</v>
      </c>
      <c r="M49" s="25" t="n">
        <v>0</v>
      </c>
      <c r="N49" s="24" t="n">
        <v>0</v>
      </c>
      <c r="O49" s="24" t="n">
        <v>587.63016</v>
      </c>
      <c r="P49" s="24" t="n">
        <v>0</v>
      </c>
      <c r="Q49" s="24" t="n">
        <v>0</v>
      </c>
      <c r="R49" s="24" t="n">
        <v>0</v>
      </c>
      <c r="S49" s="24" t="n">
        <v>0</v>
      </c>
      <c r="T49" s="24" t="n">
        <v>0</v>
      </c>
      <c r="U49" t="inlineStr">
        <is>
          <t>manual_review</t>
        </is>
      </c>
      <c r="V49" s="22" t="n">
        <v>0.92</v>
      </c>
      <c r="W49" t="inlineStr">
        <is>
          <t>hcris_nmrc_agency_per_hospital</t>
        </is>
      </c>
      <c r="X49" t="b">
        <v>1</v>
      </c>
    </row>
    <row r="50">
      <c r="A50" t="inlineStr">
        <is>
          <t>520136</t>
        </is>
      </c>
      <c r="B50" t="inlineStr">
        <is>
          <t>ASCENSION SE WISCONSIN HOSPITAL</t>
        </is>
      </c>
      <c r="C50" t="inlineStr">
        <is>
          <t>MILWAUKEE</t>
        </is>
      </c>
      <c r="D50" t="inlineStr">
        <is>
          <t>WI</t>
        </is>
      </c>
      <c r="E50" t="inlineStr">
        <is>
          <t>Ascension</t>
        </is>
      </c>
      <c r="F50" s="22" t="n">
        <v>77.5</v>
      </c>
      <c r="G50" s="23" t="n">
        <v>55.65655</v>
      </c>
      <c r="H50" s="23" t="n">
        <v>63.19</v>
      </c>
      <c r="I50" s="23" t="n">
        <v>7.533449999999995</v>
      </c>
      <c r="J50" s="24" t="n">
        <v>1019.1636</v>
      </c>
      <c r="K50" s="24" t="n">
        <v>509.5818000000001</v>
      </c>
      <c r="L50" s="24" t="n">
        <v>509.5818000000001</v>
      </c>
      <c r="M50" s="25" t="n">
        <v>0.5</v>
      </c>
      <c r="N50" s="24" t="n">
        <v>1175.218199999999</v>
      </c>
      <c r="O50" s="24" t="n">
        <v>665.6363999999991</v>
      </c>
      <c r="P50" s="24" t="n">
        <v>78940.58353625576</v>
      </c>
      <c r="Q50" s="24" t="n">
        <v>39470.29176812788</v>
      </c>
      <c r="R50" s="24" t="n">
        <v>51557.69479892381</v>
      </c>
      <c r="S50" s="24" t="n">
        <v>1894574.004870138</v>
      </c>
      <c r="T50" s="24" t="n">
        <v>1237384.675174172</v>
      </c>
      <c r="U50" t="inlineStr">
        <is>
          <t>target</t>
        </is>
      </c>
      <c r="V50" s="22" t="n">
        <v>0.92</v>
      </c>
      <c r="W50" t="inlineStr">
        <is>
          <t>hcris_nmrc_agency_per_hospital</t>
        </is>
      </c>
      <c r="X50" t="b">
        <v>0</v>
      </c>
    </row>
    <row r="51">
      <c r="A51" t="inlineStr">
        <is>
          <t>520214</t>
        </is>
      </c>
      <c r="B51" t="inlineStr">
        <is>
          <t>ASCENSION WISCONSIN HOSP MENOMONEE FALLS CAMPUS</t>
        </is>
      </c>
      <c r="C51" t="inlineStr">
        <is>
          <t>MENOMONEE FALLS</t>
        </is>
      </c>
      <c r="D51" t="inlineStr">
        <is>
          <t>WI</t>
        </is>
      </c>
      <c r="E51" t="inlineStr">
        <is>
          <t>Ascension</t>
        </is>
      </c>
      <c r="F51" s="22" t="n">
        <v>1.4</v>
      </c>
      <c r="G51" s="23" t="n">
        <v>54.03655000000001</v>
      </c>
      <c r="H51" s="23" t="n">
        <v>105.66</v>
      </c>
      <c r="I51" s="23" t="n">
        <v>51.62344999999999</v>
      </c>
      <c r="J51" s="24" t="n">
        <v>1019.1636</v>
      </c>
      <c r="K51" s="24" t="n">
        <v>509.5818000000001</v>
      </c>
      <c r="L51" s="24" t="n">
        <v>509.5818000000001</v>
      </c>
      <c r="M51" s="25" t="n">
        <v>0.5</v>
      </c>
      <c r="N51" s="24" t="n">
        <v>8053.258199999998</v>
      </c>
      <c r="O51" s="24" t="n">
        <v>7543.676399999998</v>
      </c>
      <c r="P51" s="24" t="n">
        <v>1392.845048381602</v>
      </c>
      <c r="Q51" s="24" t="n">
        <v>696.4225241908008</v>
      </c>
      <c r="R51" s="24" t="n">
        <v>10309.60320829074</v>
      </c>
      <c r="S51" s="24" t="n">
        <v>33428.28116115844</v>
      </c>
      <c r="T51" s="24" t="n">
        <v>247430.4769989778</v>
      </c>
      <c r="U51" t="inlineStr">
        <is>
          <t>target</t>
        </is>
      </c>
      <c r="V51" s="22" t="n">
        <v>0.92</v>
      </c>
      <c r="W51" t="inlineStr">
        <is>
          <t>hcris_nmrc_agency_per_hospital</t>
        </is>
      </c>
      <c r="X51" t="b">
        <v>0</v>
      </c>
    </row>
    <row r="52">
      <c r="A52" t="inlineStr">
        <is>
          <t>521317</t>
        </is>
      </c>
      <c r="B52" t="inlineStr">
        <is>
          <t>ASCENSION CALUMET HOSPITAL</t>
        </is>
      </c>
      <c r="C52" t="inlineStr">
        <is>
          <t>CHILTON</t>
        </is>
      </c>
      <c r="D52" t="inlineStr">
        <is>
          <t>WI</t>
        </is>
      </c>
      <c r="E52" t="inlineStr">
        <is>
          <t>Ascension</t>
        </is>
      </c>
      <c r="F52" s="22" t="n">
        <v>22.8</v>
      </c>
      <c r="G52" s="23" t="n">
        <v>57.40005</v>
      </c>
      <c r="H52" s="23" t="n">
        <v>97.59999999999999</v>
      </c>
      <c r="I52" s="23" t="n">
        <v>40.19994999999999</v>
      </c>
      <c r="J52" s="24" t="n">
        <v>995.2956</v>
      </c>
      <c r="K52" s="24" t="n">
        <v>497.6478</v>
      </c>
      <c r="L52" s="24" t="n">
        <v>497.6478</v>
      </c>
      <c r="M52" s="25" t="n">
        <v>0.5</v>
      </c>
      <c r="N52" s="24" t="n">
        <v>6271.1922</v>
      </c>
      <c r="O52" s="24" t="n">
        <v>5773.544399999999</v>
      </c>
      <c r="P52" s="24" t="n">
        <v>22692.73968</v>
      </c>
      <c r="Q52" s="24" t="n">
        <v>11346.36984</v>
      </c>
      <c r="R52" s="24" t="n">
        <v>131636.81232</v>
      </c>
      <c r="S52" s="24" t="n">
        <v>544625.7523200001</v>
      </c>
      <c r="T52" s="24" t="n">
        <v>3159283.49568</v>
      </c>
      <c r="U52" t="inlineStr">
        <is>
          <t>target</t>
        </is>
      </c>
      <c r="V52" s="22" t="n">
        <v>0.85</v>
      </c>
      <c r="W52" t="inlineStr">
        <is>
          <t>hcris_derived_with_state_agency</t>
        </is>
      </c>
      <c r="X52" t="b">
        <v>0</v>
      </c>
    </row>
    <row r="53">
      <c r="A53" t="inlineStr">
        <is>
          <t>670041</t>
        </is>
      </c>
      <c r="B53" t="inlineStr">
        <is>
          <t>ASCENSION SETON WILLIAMSON</t>
        </is>
      </c>
      <c r="C53" t="inlineStr">
        <is>
          <t>ROUND ROCK</t>
        </is>
      </c>
      <c r="D53" t="inlineStr">
        <is>
          <t>TX</t>
        </is>
      </c>
      <c r="E53" t="inlineStr">
        <is>
          <t>Ascension</t>
        </is>
      </c>
      <c r="F53" s="22" t="n">
        <v>8.699999999999999</v>
      </c>
      <c r="G53" s="23" t="n">
        <v>58.19517500000001</v>
      </c>
      <c r="H53" s="23" t="n">
        <v>58.19517500000001</v>
      </c>
      <c r="I53" s="23" t="n">
        <v>0</v>
      </c>
      <c r="J53" s="24" t="n">
        <v>0</v>
      </c>
      <c r="K53" s="24" t="n">
        <v>548.3673</v>
      </c>
      <c r="L53" s="24" t="n">
        <v>-548.3673</v>
      </c>
      <c r="M53" s="25" t="n">
        <v>0</v>
      </c>
      <c r="N53" s="24" t="n">
        <v>0</v>
      </c>
      <c r="O53" s="24" t="n">
        <v>548.3673</v>
      </c>
      <c r="P53" s="24" t="n">
        <v>0</v>
      </c>
      <c r="Q53" s="24" t="n">
        <v>0</v>
      </c>
      <c r="R53" s="24" t="n">
        <v>0</v>
      </c>
      <c r="S53" s="24" t="n">
        <v>0</v>
      </c>
      <c r="T53" s="24" t="n">
        <v>0</v>
      </c>
      <c r="U53" t="inlineStr">
        <is>
          <t>manual_review</t>
        </is>
      </c>
      <c r="V53" s="22" t="n">
        <v>0.92</v>
      </c>
      <c r="W53" t="inlineStr">
        <is>
          <t>hcris_nmrc_agency_per_hospital</t>
        </is>
      </c>
      <c r="X53" t="b">
        <v>1</v>
      </c>
    </row>
    <row r="54">
      <c r="A54" t="inlineStr">
        <is>
          <t>670043</t>
        </is>
      </c>
      <c r="B54" t="inlineStr">
        <is>
          <t>ASCENSION SETON CEDAR PARK</t>
        </is>
      </c>
      <c r="C54" t="inlineStr">
        <is>
          <t>CEDAR PARK</t>
        </is>
      </c>
      <c r="D54" t="inlineStr">
        <is>
          <t>TX</t>
        </is>
      </c>
      <c r="E54" t="inlineStr">
        <is>
          <t>Ascension</t>
        </is>
      </c>
      <c r="F54" s="22" t="n">
        <v>12.1</v>
      </c>
      <c r="G54" s="23" t="n">
        <v>56.245175</v>
      </c>
      <c r="H54" s="23" t="n">
        <v>72.73999999999999</v>
      </c>
      <c r="I54" s="23" t="n">
        <v>16.49482499999999</v>
      </c>
      <c r="J54" s="24" t="n">
        <v>1096.7346</v>
      </c>
      <c r="K54" s="24" t="n">
        <v>548.3673</v>
      </c>
      <c r="L54" s="24" t="n">
        <v>548.3673</v>
      </c>
      <c r="M54" s="25" t="n">
        <v>0.5</v>
      </c>
      <c r="N54" s="24" t="n">
        <v>2573.192699999999</v>
      </c>
      <c r="O54" s="24" t="n">
        <v>2024.825399999999</v>
      </c>
      <c r="P54" s="24" t="n">
        <v>13268.5262703052</v>
      </c>
      <c r="Q54" s="24" t="n">
        <v>6634.263135152599</v>
      </c>
      <c r="R54" s="24" t="n">
        <v>24496.7643153423</v>
      </c>
      <c r="S54" s="24" t="n">
        <v>318444.6304873247</v>
      </c>
      <c r="T54" s="24" t="n">
        <v>587922.3435682151</v>
      </c>
      <c r="U54" t="inlineStr">
        <is>
          <t>target</t>
        </is>
      </c>
      <c r="V54" s="22" t="n">
        <v>0.92</v>
      </c>
      <c r="W54" t="inlineStr">
        <is>
          <t>hcris_nmrc_agency_per_hospital</t>
        </is>
      </c>
      <c r="X54" t="b">
        <v>0</v>
      </c>
    </row>
    <row r="55">
      <c r="A55" t="inlineStr">
        <is>
          <t>670056</t>
        </is>
      </c>
      <c r="B55" t="inlineStr">
        <is>
          <t>ASCENSION  SETON HAYS</t>
        </is>
      </c>
      <c r="C55" t="inlineStr">
        <is>
          <t>KYLE</t>
        </is>
      </c>
      <c r="D55" t="inlineStr">
        <is>
          <t>TX</t>
        </is>
      </c>
      <c r="E55" t="inlineStr">
        <is>
          <t>Ascension</t>
        </is>
      </c>
      <c r="F55" s="22" t="n">
        <v>5.9</v>
      </c>
      <c r="G55" s="23" t="n">
        <v>57.505175</v>
      </c>
      <c r="H55" s="23" t="n">
        <v>67.27</v>
      </c>
      <c r="I55" s="23" t="n">
        <v>9.764824999999995</v>
      </c>
      <c r="J55" s="24" t="n">
        <v>1096.7346</v>
      </c>
      <c r="K55" s="24" t="n">
        <v>548.3673</v>
      </c>
      <c r="L55" s="24" t="n">
        <v>548.3673</v>
      </c>
      <c r="M55" s="25" t="n">
        <v>0.5</v>
      </c>
      <c r="N55" s="24" t="n">
        <v>1523.312699999999</v>
      </c>
      <c r="O55" s="24" t="n">
        <v>974.9453999999994</v>
      </c>
      <c r="P55" s="24" t="n">
        <v>6508.967037297458</v>
      </c>
      <c r="Q55" s="24" t="n">
        <v>3254.483518648729</v>
      </c>
      <c r="R55" s="24" t="n">
        <v>5786.165104816408</v>
      </c>
      <c r="S55" s="24" t="n">
        <v>156215.208895139</v>
      </c>
      <c r="T55" s="24" t="n">
        <v>138867.9625155938</v>
      </c>
      <c r="U55" t="inlineStr">
        <is>
          <t>target</t>
        </is>
      </c>
      <c r="V55" s="22" t="n">
        <v>0.92</v>
      </c>
      <c r="W55" t="inlineStr">
        <is>
          <t>hcris_nmrc_agency_per_hospital</t>
        </is>
      </c>
      <c r="X55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Sensitivity Analysis (median fee / RN per month at each parameter)</t>
        </is>
      </c>
    </row>
    <row r="3">
      <c r="A3" s="3" t="inlineStr">
        <is>
          <t>Target FICA Offset %</t>
        </is>
      </c>
      <c r="B3" s="3" t="inlineStr">
        <is>
          <t>η = 0.0</t>
        </is>
      </c>
      <c r="C3" s="3" t="inlineStr">
        <is>
          <t>η = 0.5</t>
        </is>
      </c>
      <c r="D3" s="3" t="inlineStr">
        <is>
          <t>η = 1.0</t>
        </is>
      </c>
    </row>
    <row r="4">
      <c r="A4" t="inlineStr">
        <is>
          <t>30%</t>
        </is>
      </c>
      <c r="B4" s="24" t="n">
        <v>750</v>
      </c>
      <c r="C4" s="24" t="n">
        <v>784.1632500000003</v>
      </c>
      <c r="D4" s="24" t="n">
        <v>1568.326500000001</v>
      </c>
    </row>
    <row r="5">
      <c r="A5" t="inlineStr">
        <is>
          <t>40%</t>
        </is>
      </c>
      <c r="B5" s="24" t="n">
        <v>750</v>
      </c>
      <c r="C5" s="24" t="n">
        <v>750</v>
      </c>
      <c r="D5" s="24" t="n">
        <v>1176.244875</v>
      </c>
    </row>
    <row r="6">
      <c r="A6" t="inlineStr">
        <is>
          <t>50%</t>
        </is>
      </c>
      <c r="B6" s="24" t="n">
        <v>750</v>
      </c>
      <c r="C6" s="24" t="n">
        <v>750</v>
      </c>
      <c r="D6" s="24" t="n">
        <v>940.9959000000002</v>
      </c>
    </row>
    <row r="7">
      <c r="A7" t="inlineStr">
        <is>
          <t>60%</t>
        </is>
      </c>
      <c r="B7" s="24" t="n">
        <v>750</v>
      </c>
      <c r="C7" s="24" t="n">
        <v>750</v>
      </c>
      <c r="D7" s="24" t="n">
        <v>784.1632500000003</v>
      </c>
    </row>
    <row r="8">
      <c r="A8" t="inlineStr">
        <is>
          <t>75%</t>
        </is>
      </c>
      <c r="B8" s="24" t="n">
        <v>750</v>
      </c>
      <c r="C8" s="24" t="n">
        <v>750</v>
      </c>
      <c r="D8" s="24" t="n">
        <v>750</v>
      </c>
    </row>
    <row r="11">
      <c r="A11" s="19" t="inlineStr">
        <is>
          <t>Note: Sensitivity shown at median across hospitals in this workbook scope.</t>
        </is>
      </c>
    </row>
  </sheetData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8" customWidth="1" min="7" max="7"/>
  </cols>
  <sheetData>
    <row r="1">
      <c r="A1" s="1" t="inlineStr">
        <is>
          <t>Market Benchmarks — by state median</t>
        </is>
      </c>
    </row>
    <row r="3">
      <c r="A3" s="3" t="inlineStr">
        <is>
          <t>State</t>
        </is>
      </c>
      <c r="B3" s="3" t="inlineStr">
        <is>
          <t>Hospitals</t>
        </is>
      </c>
      <c r="C3" s="3" t="inlineStr">
        <is>
          <t>Median Staff $/hr</t>
        </is>
      </c>
      <c r="D3" s="3" t="inlineStr">
        <is>
          <t>Median Agency $/hr</t>
        </is>
      </c>
      <c r="E3" s="3" t="inlineStr">
        <is>
          <t>Median Premium $/hr</t>
        </is>
      </c>
      <c r="F3" s="3" t="inlineStr">
        <is>
          <t>Median Fee $/RN/mo</t>
        </is>
      </c>
      <c r="G3" s="3" t="inlineStr">
        <is>
          <t>Median FICA $/RN/mo</t>
        </is>
      </c>
    </row>
    <row r="4">
      <c r="A4" t="inlineStr">
        <is>
          <t>IN</t>
        </is>
      </c>
      <c r="B4" t="n">
        <v>13</v>
      </c>
      <c r="C4" s="23" t="n">
        <v>51.957875</v>
      </c>
      <c r="D4" s="23" t="n">
        <v>88.34999999999999</v>
      </c>
      <c r="E4" s="23" t="n">
        <v>35.41857499999999</v>
      </c>
      <c r="F4" s="24" t="n">
        <v>901.0170000000002</v>
      </c>
      <c r="G4" s="24" t="n">
        <v>458.8623000000001</v>
      </c>
    </row>
    <row r="5">
      <c r="A5" t="inlineStr">
        <is>
          <t>TX</t>
        </is>
      </c>
      <c r="B5" t="n">
        <v>9</v>
      </c>
      <c r="C5" s="23" t="n">
        <v>59.005175</v>
      </c>
      <c r="D5" s="23" t="n">
        <v>67.27</v>
      </c>
      <c r="E5" s="23" t="n">
        <v>6.224825000000003</v>
      </c>
      <c r="F5" s="24" t="n">
        <v>1096.7346</v>
      </c>
      <c r="G5" s="24" t="n">
        <v>548.3673</v>
      </c>
    </row>
    <row r="6">
      <c r="A6" t="inlineStr">
        <is>
          <t>WI</t>
        </is>
      </c>
      <c r="B6" t="n">
        <v>7</v>
      </c>
      <c r="C6" s="23" t="n">
        <v>57.40005</v>
      </c>
      <c r="D6" s="23" t="n">
        <v>82.89</v>
      </c>
      <c r="E6" s="23" t="n">
        <v>9.763449999999992</v>
      </c>
      <c r="F6" s="24" t="n">
        <v>1019.1636</v>
      </c>
      <c r="G6" s="24" t="n">
        <v>509.5818000000001</v>
      </c>
    </row>
    <row r="7">
      <c r="A7" t="inlineStr">
        <is>
          <t>FL</t>
        </is>
      </c>
      <c r="B7" t="n">
        <v>6</v>
      </c>
      <c r="C7" s="23" t="n">
        <v>50.2991</v>
      </c>
      <c r="D7" s="23" t="n">
        <v>77.1619125</v>
      </c>
      <c r="E7" s="23" t="n">
        <v>21.57089999999999</v>
      </c>
      <c r="F7" s="24" t="n">
        <v>940.3992000000002</v>
      </c>
      <c r="G7" s="24" t="n">
        <v>470.1996000000001</v>
      </c>
    </row>
    <row r="8">
      <c r="A8" t="inlineStr">
        <is>
          <t>MI</t>
        </is>
      </c>
      <c r="B8" t="n">
        <v>6</v>
      </c>
      <c r="C8" s="23" t="n">
        <v>50.8004625</v>
      </c>
      <c r="D8" s="23" t="n">
        <v>95.03</v>
      </c>
      <c r="E8" s="23" t="n">
        <v>44.2791</v>
      </c>
      <c r="F8" s="24" t="n">
        <v>975.0078</v>
      </c>
      <c r="G8" s="24" t="n">
        <v>487.5039</v>
      </c>
    </row>
    <row r="9">
      <c r="A9" t="inlineStr">
        <is>
          <t>TN</t>
        </is>
      </c>
      <c r="B9" t="n">
        <v>6</v>
      </c>
      <c r="C9" s="23" t="n">
        <v>49.9988625</v>
      </c>
      <c r="D9" s="23" t="n">
        <v>83.79000000000001</v>
      </c>
      <c r="E9" s="23" t="n">
        <v>33.070975</v>
      </c>
      <c r="F9" s="24" t="n">
        <v>879.5358</v>
      </c>
      <c r="G9" s="24" t="n">
        <v>439.7679</v>
      </c>
    </row>
    <row r="10">
      <c r="A10" t="inlineStr">
        <is>
          <t>OK</t>
        </is>
      </c>
      <c r="B10" t="n">
        <v>5</v>
      </c>
      <c r="C10" s="23" t="n">
        <v>69.790995</v>
      </c>
      <c r="D10" s="23" t="n">
        <v>74.67907</v>
      </c>
      <c r="E10" s="23" t="n">
        <v>0</v>
      </c>
      <c r="F10" s="24" t="n">
        <v>0</v>
      </c>
      <c r="G10" s="24" t="n">
        <v>666.27522</v>
      </c>
    </row>
    <row r="11">
      <c r="A11" t="inlineStr">
        <is>
          <t>KS</t>
        </is>
      </c>
      <c r="B11" t="n">
        <v>2</v>
      </c>
      <c r="C11" s="23" t="n">
        <v>74.469295</v>
      </c>
      <c r="D11" s="23" t="n">
        <v>83.73196250000001</v>
      </c>
      <c r="E11" s="23" t="n">
        <v>9.262667500000006</v>
      </c>
      <c r="F11" s="24" t="n">
        <v>627.8477399999999</v>
      </c>
      <c r="G11" s="24" t="n">
        <v>692.53002</v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5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36" customWidth="1" min="2" max="2"/>
    <col width="18" customWidth="1" min="3" max="3"/>
    <col width="6" customWidth="1" min="4" max="4"/>
    <col width="18" customWidth="1" min="5" max="5"/>
    <col width="22" customWidth="1" min="6" max="6"/>
    <col width="24" customWidth="1" min="7" max="7"/>
    <col width="14" customWidth="1" min="8" max="8"/>
    <col width="22" customWidth="1" min="9" max="9"/>
    <col width="14" customWidth="1" min="10" max="10"/>
    <col width="16" customWidth="1" min="11" max="11"/>
    <col width="14" customWidth="1" min="12" max="12"/>
    <col width="16" customWidth="1" min="13" max="13"/>
    <col width="16" customWidth="1" min="14" max="14"/>
    <col width="32" customWidth="1" min="15" max="15"/>
    <col width="14" customWidth="1" min="16" max="16"/>
  </cols>
  <sheetData>
    <row r="1">
      <c r="A1" s="3" t="inlineStr">
        <is>
          <t>CCN</t>
        </is>
      </c>
      <c r="B1" s="3" t="inlineStr">
        <is>
          <t>Hospital</t>
        </is>
      </c>
      <c r="C1" s="3" t="inlineStr">
        <is>
          <t>City</t>
        </is>
      </c>
      <c r="D1" s="3" t="inlineStr">
        <is>
          <t>State</t>
        </is>
      </c>
      <c r="E1" s="3" t="inlineStr">
        <is>
          <t>County</t>
        </is>
      </c>
      <c r="F1" s="3" t="inlineStr">
        <is>
          <t>Type</t>
        </is>
      </c>
      <c r="G1" s="3" t="inlineStr">
        <is>
          <t>Ownership</t>
        </is>
      </c>
      <c r="H1" s="3" t="inlineStr">
        <is>
          <t>HCRIS Total FTE</t>
        </is>
      </c>
      <c r="I1" s="3" t="inlineStr">
        <is>
          <t>HCRIS Contract Labor $</t>
        </is>
      </c>
      <c r="J1" s="3" t="inlineStr">
        <is>
          <t>CL Intensity %</t>
        </is>
      </c>
      <c r="K1" s="3" t="inlineStr">
        <is>
          <t>Operating Margin %</t>
        </is>
      </c>
      <c r="L1" s="3" t="inlineStr">
        <is>
          <t>Derived RN Need</t>
        </is>
      </c>
      <c r="M1" s="3" t="inlineStr">
        <is>
          <t>Loaded Staff $/hr</t>
        </is>
      </c>
      <c r="N1" s="3" t="inlineStr">
        <is>
          <t>All-in Agency $/hr</t>
        </is>
      </c>
      <c r="O1" s="3" t="inlineStr">
        <is>
          <t>Wage/Agency Source</t>
        </is>
      </c>
      <c r="P1" s="3" t="inlineStr">
        <is>
          <t>Data Confidence</t>
        </is>
      </c>
    </row>
    <row r="2">
      <c r="A2" t="inlineStr">
        <is>
          <t>100026</t>
        </is>
      </c>
      <c r="B2" t="inlineStr">
        <is>
          <t>ASCENSION SACRED HEART BAY</t>
        </is>
      </c>
      <c r="C2" t="inlineStr">
        <is>
          <t>PANAMA CITY</t>
        </is>
      </c>
      <c r="D2" t="inlineStr">
        <is>
          <t>FL</t>
        </is>
      </c>
      <c r="E2" t="inlineStr">
        <is>
          <t>BAY</t>
        </is>
      </c>
      <c r="F2" t="inlineStr">
        <is>
          <t>Acute Care Hospitals</t>
        </is>
      </c>
      <c r="G2" t="inlineStr">
        <is>
          <t>Voluntary non-profit - Private</t>
        </is>
      </c>
      <c r="H2" s="24" t="n">
        <v>740</v>
      </c>
      <c r="I2" s="24" t="n">
        <v>382198</v>
      </c>
      <c r="J2" s="25" t="n">
        <v>0.006</v>
      </c>
      <c r="K2" s="25" t="n">
        <v>0.0327</v>
      </c>
      <c r="L2" s="24" t="n">
        <v>3.2</v>
      </c>
      <c r="M2" s="24" t="n">
        <v>75.99382499999999</v>
      </c>
      <c r="N2" s="24" t="n">
        <v>75.99382499999999</v>
      </c>
      <c r="O2" t="inlineStr">
        <is>
          <t>hcris_nmrc_agency_per_hospital</t>
        </is>
      </c>
      <c r="P2" s="26" t="n">
        <v>0.92</v>
      </c>
    </row>
    <row r="3">
      <c r="A3" t="inlineStr">
        <is>
          <t>100040</t>
        </is>
      </c>
      <c r="B3" t="inlineStr">
        <is>
          <t>ASCENSION ST VINCENT'S RIVERSIDE</t>
        </is>
      </c>
      <c r="C3" t="inlineStr">
        <is>
          <t>JACKSONVILLE</t>
        </is>
      </c>
      <c r="D3" t="inlineStr">
        <is>
          <t>FL</t>
        </is>
      </c>
      <c r="E3" t="inlineStr">
        <is>
          <t>DUVAL</t>
        </is>
      </c>
      <c r="F3" t="inlineStr">
        <is>
          <t>Acute Care Hospitals</t>
        </is>
      </c>
      <c r="G3" t="inlineStr">
        <is>
          <t>Voluntary non-profit - Private</t>
        </is>
      </c>
      <c r="H3" s="24" t="n">
        <v>1435</v>
      </c>
      <c r="I3" s="24" t="n">
        <v>669676</v>
      </c>
      <c r="J3" s="25" t="n">
        <v>0.0057</v>
      </c>
      <c r="K3" s="25" t="n">
        <v>0.0645</v>
      </c>
      <c r="L3" s="24" t="n">
        <v>3.6</v>
      </c>
      <c r="M3" s="24" t="n">
        <v>49.4741</v>
      </c>
      <c r="N3" s="24" t="n">
        <v>71.06999999999999</v>
      </c>
      <c r="O3" t="inlineStr">
        <is>
          <t>hcris_nmrc_agency_per_hospital</t>
        </is>
      </c>
      <c r="P3" s="26" t="n">
        <v>0.92</v>
      </c>
    </row>
    <row r="4">
      <c r="A4" t="inlineStr">
        <is>
          <t>100307</t>
        </is>
      </c>
      <c r="B4" t="inlineStr">
        <is>
          <t>ASCENSION ST VINCENT'S SOUTHSIDE</t>
        </is>
      </c>
      <c r="C4" t="inlineStr">
        <is>
          <t>JACKSONVILLE</t>
        </is>
      </c>
      <c r="D4" t="inlineStr">
        <is>
          <t>FL</t>
        </is>
      </c>
      <c r="E4" t="inlineStr">
        <is>
          <t>DUVAL</t>
        </is>
      </c>
      <c r="F4" t="inlineStr">
        <is>
          <t>Acute Care Hospitals</t>
        </is>
      </c>
      <c r="G4" t="inlineStr">
        <is>
          <t>Voluntary non-profit - Private</t>
        </is>
      </c>
      <c r="H4" s="24" t="n">
        <v>954</v>
      </c>
      <c r="I4" s="24" t="n">
        <v>312923</v>
      </c>
      <c r="J4" s="25" t="n">
        <v>0.0033</v>
      </c>
      <c r="K4" s="25" t="n">
        <v>0.0399</v>
      </c>
      <c r="L4" s="24" t="n">
        <v>1.5</v>
      </c>
      <c r="M4" s="24" t="n">
        <v>48.9341</v>
      </c>
      <c r="N4" s="24" t="n">
        <v>78.33</v>
      </c>
      <c r="O4" t="inlineStr">
        <is>
          <t>hcris_nmrc_agency_per_hospital</t>
        </is>
      </c>
      <c r="P4" s="26" t="n">
        <v>0.92</v>
      </c>
    </row>
    <row r="5">
      <c r="A5" t="inlineStr">
        <is>
          <t>100313</t>
        </is>
      </c>
      <c r="B5" t="inlineStr">
        <is>
          <t>ASCENSION SACRED HEART GULF</t>
        </is>
      </c>
      <c r="C5" t="inlineStr">
        <is>
          <t>PORT SAINT JOE</t>
        </is>
      </c>
      <c r="D5" t="inlineStr">
        <is>
          <t>FL</t>
        </is>
      </c>
      <c r="E5" t="inlineStr">
        <is>
          <t>GULF</t>
        </is>
      </c>
      <c r="F5" t="inlineStr">
        <is>
          <t>Acute Care Hospitals</t>
        </is>
      </c>
      <c r="G5" t="inlineStr">
        <is>
          <t>Voluntary non-profit - Private</t>
        </is>
      </c>
      <c r="H5" s="24" t="n">
        <v>74</v>
      </c>
      <c r="I5" t="inlineStr"/>
      <c r="J5" t="inlineStr"/>
      <c r="K5" s="25" t="n">
        <v>-0.1246</v>
      </c>
      <c r="L5" s="24" t="n">
        <v>19.9</v>
      </c>
      <c r="M5" s="24" t="n">
        <v>79.375235</v>
      </c>
      <c r="N5" s="24" t="n">
        <v>79.375235</v>
      </c>
      <c r="O5" t="inlineStr">
        <is>
          <t>hcris_nmrc_agency_per_hospital</t>
        </is>
      </c>
      <c r="P5" s="26" t="n">
        <v>0.92</v>
      </c>
    </row>
    <row r="6">
      <c r="A6" t="inlineStr">
        <is>
          <t>100321</t>
        </is>
      </c>
      <c r="B6" t="inlineStr">
        <is>
          <t>ASCENSION ST VINCENT'S CLAY COUNTY</t>
        </is>
      </c>
      <c r="C6" t="inlineStr">
        <is>
          <t>MIDDLEBURG</t>
        </is>
      </c>
      <c r="D6" t="inlineStr">
        <is>
          <t>FL</t>
        </is>
      </c>
      <c r="E6" t="inlineStr">
        <is>
          <t>CLAY</t>
        </is>
      </c>
      <c r="F6" t="inlineStr">
        <is>
          <t>Acute Care Hospitals</t>
        </is>
      </c>
      <c r="G6" t="inlineStr">
        <is>
          <t>Voluntary non-profit - Private</t>
        </is>
      </c>
      <c r="H6" s="24" t="n">
        <v>544</v>
      </c>
      <c r="I6" s="24" t="n">
        <v>574601</v>
      </c>
      <c r="J6" s="25" t="n">
        <v>0.012</v>
      </c>
      <c r="K6" s="25" t="n">
        <v>0.08119999999999999</v>
      </c>
      <c r="L6" s="24" t="n">
        <v>3</v>
      </c>
      <c r="M6" s="24" t="n">
        <v>51.0241</v>
      </c>
      <c r="N6" s="24" t="n">
        <v>72.56999999999999</v>
      </c>
      <c r="O6" t="inlineStr">
        <is>
          <t>hcris_nmrc_agency_per_hospital</t>
        </is>
      </c>
      <c r="P6" s="26" t="n">
        <v>0.92</v>
      </c>
    </row>
    <row r="7">
      <c r="A7" t="inlineStr">
        <is>
          <t>100361</t>
        </is>
      </c>
      <c r="B7" t="inlineStr">
        <is>
          <t>ASCENSION ST VINCENT'S ST JOHNS COUNTY</t>
        </is>
      </c>
      <c r="C7" t="inlineStr">
        <is>
          <t>ST. JOHNS</t>
        </is>
      </c>
      <c r="D7" t="inlineStr">
        <is>
          <t>FL</t>
        </is>
      </c>
      <c r="E7" t="inlineStr">
        <is>
          <t>ST. JOHNS</t>
        </is>
      </c>
      <c r="F7" t="inlineStr">
        <is>
          <t>Acute Care Hospitals</t>
        </is>
      </c>
      <c r="G7" t="inlineStr">
        <is>
          <t>Voluntary non-profit - Private</t>
        </is>
      </c>
      <c r="H7" s="24" t="n">
        <v>231</v>
      </c>
      <c r="I7" t="inlineStr"/>
      <c r="J7" t="inlineStr"/>
      <c r="K7" s="25" t="n">
        <v>-0.0743</v>
      </c>
      <c r="L7" s="24" t="n">
        <v>62.3</v>
      </c>
      <c r="M7" s="24" t="n">
        <v>49.5741</v>
      </c>
      <c r="N7" s="24" t="n">
        <v>92.45</v>
      </c>
      <c r="O7" t="inlineStr">
        <is>
          <t>hcris_derived_with_state_agency</t>
        </is>
      </c>
      <c r="P7" s="26" t="n">
        <v>0.85</v>
      </c>
    </row>
    <row r="8">
      <c r="A8" t="inlineStr">
        <is>
          <t>150010</t>
        </is>
      </c>
      <c r="B8" t="inlineStr">
        <is>
          <t>ASCENSION ST VINCENT KOKOMO</t>
        </is>
      </c>
      <c r="C8" t="inlineStr">
        <is>
          <t>KOKOMO</t>
        </is>
      </c>
      <c r="D8" t="inlineStr">
        <is>
          <t>IN</t>
        </is>
      </c>
      <c r="E8" t="inlineStr">
        <is>
          <t>HOWARD</t>
        </is>
      </c>
      <c r="F8" t="inlineStr">
        <is>
          <t>Acute Care Hospitals</t>
        </is>
      </c>
      <c r="G8" t="inlineStr">
        <is>
          <t>Voluntary non-profit - Church</t>
        </is>
      </c>
      <c r="H8" s="24" t="n">
        <v>414</v>
      </c>
      <c r="I8" s="24" t="n">
        <v>933140</v>
      </c>
      <c r="J8" s="25" t="n">
        <v>0.0237</v>
      </c>
      <c r="K8" s="25" t="n">
        <v>0.1986</v>
      </c>
      <c r="L8" s="24" t="n">
        <v>5.7</v>
      </c>
      <c r="M8" s="24" t="n">
        <v>77.2565</v>
      </c>
      <c r="N8" s="24" t="n">
        <v>77.2565</v>
      </c>
      <c r="O8" t="inlineStr">
        <is>
          <t>hcris_nmrc_agency_per_hospital</t>
        </is>
      </c>
      <c r="P8" s="26" t="n">
        <v>0.92</v>
      </c>
    </row>
    <row r="9">
      <c r="A9" t="inlineStr">
        <is>
          <t>150084</t>
        </is>
      </c>
      <c r="B9" t="inlineStr">
        <is>
          <t>ASCENSION ST VINCENT HOSPITAL</t>
        </is>
      </c>
      <c r="C9" t="inlineStr">
        <is>
          <t>INDIANAPOLIS</t>
        </is>
      </c>
      <c r="D9" t="inlineStr">
        <is>
          <t>IN</t>
        </is>
      </c>
      <c r="E9" t="inlineStr">
        <is>
          <t>MARION</t>
        </is>
      </c>
      <c r="F9" t="inlineStr">
        <is>
          <t>Acute Care Hospitals</t>
        </is>
      </c>
      <c r="G9" t="inlineStr">
        <is>
          <t>Voluntary non-profit - Church</t>
        </is>
      </c>
      <c r="H9" s="24" t="n">
        <v>3861</v>
      </c>
      <c r="I9" s="24" t="n">
        <v>28881399</v>
      </c>
      <c r="J9" s="25" t="n">
        <v>0.0643</v>
      </c>
      <c r="K9" s="25" t="n">
        <v>0.2492</v>
      </c>
      <c r="L9" s="24" t="n">
        <v>157.1</v>
      </c>
      <c r="M9" s="24" t="n">
        <v>46.611425</v>
      </c>
      <c r="N9" s="24" t="n">
        <v>70.69</v>
      </c>
      <c r="O9" t="inlineStr">
        <is>
          <t>hcris_nmrc_agency_per_hospital</t>
        </is>
      </c>
      <c r="P9" s="26" t="n">
        <v>0.92</v>
      </c>
    </row>
    <row r="10">
      <c r="A10" t="inlineStr">
        <is>
          <t>150088</t>
        </is>
      </c>
      <c r="B10" t="inlineStr">
        <is>
          <t>ASCENSION ST VINCENT ANDERSON</t>
        </is>
      </c>
      <c r="C10" t="inlineStr">
        <is>
          <t>ANDERSON</t>
        </is>
      </c>
      <c r="D10" t="inlineStr">
        <is>
          <t>IN</t>
        </is>
      </c>
      <c r="E10" t="inlineStr">
        <is>
          <t>MADISON</t>
        </is>
      </c>
      <c r="F10" t="inlineStr">
        <is>
          <t>Acute Care Hospitals</t>
        </is>
      </c>
      <c r="G10" t="inlineStr">
        <is>
          <t>Voluntary non-profit - Private</t>
        </is>
      </c>
      <c r="H10" s="24" t="n">
        <v>535</v>
      </c>
      <c r="I10" s="24" t="n">
        <v>3186381</v>
      </c>
      <c r="J10" s="25" t="n">
        <v>0.0597</v>
      </c>
      <c r="K10" s="25" t="n">
        <v>0.0562</v>
      </c>
      <c r="L10" s="24" t="n">
        <v>20.6</v>
      </c>
      <c r="M10" s="24" t="n">
        <v>48.62142500000001</v>
      </c>
      <c r="N10" s="24" t="n">
        <v>59.48</v>
      </c>
      <c r="O10" t="inlineStr">
        <is>
          <t>hcris_nmrc_agency_per_hospital</t>
        </is>
      </c>
      <c r="P10" s="26" t="n">
        <v>0.92</v>
      </c>
    </row>
    <row r="11">
      <c r="A11" t="inlineStr">
        <is>
          <t>150100</t>
        </is>
      </c>
      <c r="B11" t="inlineStr">
        <is>
          <t>ASCENSION ST VINCENT EVANSVILLE</t>
        </is>
      </c>
      <c r="C11" t="inlineStr">
        <is>
          <t>EVANSVILLE</t>
        </is>
      </c>
      <c r="D11" t="inlineStr">
        <is>
          <t>IN</t>
        </is>
      </c>
      <c r="E11" t="inlineStr">
        <is>
          <t>VANDERBURGH</t>
        </is>
      </c>
      <c r="F11" t="inlineStr">
        <is>
          <t>Acute Care Hospitals</t>
        </is>
      </c>
      <c r="G11" t="inlineStr">
        <is>
          <t>Voluntary non-profit - Private</t>
        </is>
      </c>
      <c r="H11" s="24" t="n">
        <v>1385</v>
      </c>
      <c r="I11" s="24" t="n">
        <v>17443369</v>
      </c>
      <c r="J11" s="25" t="n">
        <v>0.125</v>
      </c>
      <c r="K11" s="25" t="n">
        <v>0.2221</v>
      </c>
      <c r="L11" s="24" t="n">
        <v>105.8</v>
      </c>
      <c r="M11" s="24" t="n">
        <v>71.776895</v>
      </c>
      <c r="N11" s="24" t="n">
        <v>71.776895</v>
      </c>
      <c r="O11" t="inlineStr">
        <is>
          <t>hcris_nmrc_agency_per_hospital</t>
        </is>
      </c>
      <c r="P11" s="26" t="n">
        <v>0.92</v>
      </c>
    </row>
    <row r="12">
      <c r="A12" t="inlineStr">
        <is>
          <t>150157</t>
        </is>
      </c>
      <c r="B12" t="inlineStr">
        <is>
          <t>ASCENSION ST VINCENT CARMEL</t>
        </is>
      </c>
      <c r="C12" t="inlineStr">
        <is>
          <t>CARMEL</t>
        </is>
      </c>
      <c r="D12" t="inlineStr">
        <is>
          <t>IN</t>
        </is>
      </c>
      <c r="E12" t="inlineStr">
        <is>
          <t>HAMILTON</t>
        </is>
      </c>
      <c r="F12" t="inlineStr">
        <is>
          <t>Acute Care Hospitals</t>
        </is>
      </c>
      <c r="G12" t="inlineStr">
        <is>
          <t>Voluntary non-profit - Private</t>
        </is>
      </c>
      <c r="H12" s="24" t="n">
        <v>484</v>
      </c>
      <c r="I12" s="24" t="n">
        <v>3304889</v>
      </c>
      <c r="J12" s="25" t="n">
        <v>0.0655</v>
      </c>
      <c r="K12" s="25" t="n">
        <v>0.423</v>
      </c>
      <c r="L12" s="24" t="n">
        <v>21.1</v>
      </c>
      <c r="M12" s="24" t="n">
        <v>49.92142500000001</v>
      </c>
      <c r="N12" s="24" t="n">
        <v>60.37</v>
      </c>
      <c r="O12" t="inlineStr">
        <is>
          <t>hcris_nmrc_agency_per_hospital</t>
        </is>
      </c>
      <c r="P12" s="26" t="n">
        <v>0.92</v>
      </c>
    </row>
    <row r="13">
      <c r="A13" t="inlineStr">
        <is>
          <t>150181</t>
        </is>
      </c>
      <c r="B13" t="inlineStr">
        <is>
          <t>ASCENSION ST VINCENT FISHERS</t>
        </is>
      </c>
      <c r="C13" t="inlineStr">
        <is>
          <t>FISHERS</t>
        </is>
      </c>
      <c r="D13" t="inlineStr">
        <is>
          <t>IN</t>
        </is>
      </c>
      <c r="E13" t="inlineStr">
        <is>
          <t>HAMILTON</t>
        </is>
      </c>
      <c r="F13" t="inlineStr">
        <is>
          <t>Acute Care Hospitals</t>
        </is>
      </c>
      <c r="G13" t="inlineStr">
        <is>
          <t>Voluntary non-profit - Private</t>
        </is>
      </c>
      <c r="H13" s="24" t="n">
        <v>145</v>
      </c>
      <c r="I13" s="24" t="n">
        <v>820642</v>
      </c>
      <c r="J13" s="25" t="n">
        <v>0.0518</v>
      </c>
      <c r="K13" s="25" t="n">
        <v>0.2919</v>
      </c>
      <c r="L13" s="24" t="n">
        <v>5.1</v>
      </c>
      <c r="M13" s="24" t="n">
        <v>46.971425</v>
      </c>
      <c r="N13" s="24" t="n">
        <v>61.39</v>
      </c>
      <c r="O13" t="inlineStr">
        <is>
          <t>hcris_nmrc_agency_per_hospital</t>
        </is>
      </c>
      <c r="P13" s="26" t="n">
        <v>0.92</v>
      </c>
    </row>
    <row r="14">
      <c r="A14" t="inlineStr">
        <is>
          <t>151301</t>
        </is>
      </c>
      <c r="B14" t="inlineStr">
        <is>
          <t>ASCENSION ST VINCENT RANDOLPH</t>
        </is>
      </c>
      <c r="C14" t="inlineStr">
        <is>
          <t>WINCHESTER</t>
        </is>
      </c>
      <c r="D14" t="inlineStr">
        <is>
          <t>IN</t>
        </is>
      </c>
      <c r="E14" t="inlineStr">
        <is>
          <t>RANDOLPH</t>
        </is>
      </c>
      <c r="F14" t="inlineStr">
        <is>
          <t>Critical Access Hospitals</t>
        </is>
      </c>
      <c r="G14" t="inlineStr">
        <is>
          <t>Voluntary non-profit - Private</t>
        </is>
      </c>
      <c r="H14" s="24" t="n">
        <v>63</v>
      </c>
      <c r="I14" t="inlineStr"/>
      <c r="J14" t="inlineStr"/>
      <c r="K14" s="25" t="n">
        <v>0.3478</v>
      </c>
      <c r="L14" s="24" t="n">
        <v>17</v>
      </c>
      <c r="M14" s="24" t="n">
        <v>51.957875</v>
      </c>
      <c r="N14" s="24" t="n">
        <v>88.34999999999999</v>
      </c>
      <c r="O14" t="inlineStr">
        <is>
          <t>hcris_derived_with_state_agency</t>
        </is>
      </c>
      <c r="P14" s="26" t="n">
        <v>0.85</v>
      </c>
    </row>
    <row r="15">
      <c r="A15" t="inlineStr">
        <is>
          <t>151303</t>
        </is>
      </c>
      <c r="B15" t="inlineStr">
        <is>
          <t>ASCENSION ST VINCENT JENNINGS</t>
        </is>
      </c>
      <c r="C15" t="inlineStr">
        <is>
          <t>NORTH VERNON</t>
        </is>
      </c>
      <c r="D15" t="inlineStr">
        <is>
          <t>IN</t>
        </is>
      </c>
      <c r="E15" t="inlineStr">
        <is>
          <t>JENNINGS</t>
        </is>
      </c>
      <c r="F15" t="inlineStr">
        <is>
          <t>Critical Access Hospitals</t>
        </is>
      </c>
      <c r="G15" t="inlineStr">
        <is>
          <t>Voluntary non-profit - Church</t>
        </is>
      </c>
      <c r="H15" s="24" t="n">
        <v>49</v>
      </c>
      <c r="I15" t="inlineStr"/>
      <c r="J15" t="inlineStr"/>
      <c r="K15" s="25" t="n">
        <v>0.3543</v>
      </c>
      <c r="L15" s="24" t="n">
        <v>13.3</v>
      </c>
      <c r="M15" s="24" t="n">
        <v>51.957875</v>
      </c>
      <c r="N15" s="24" t="n">
        <v>88.34999999999999</v>
      </c>
      <c r="O15" t="inlineStr">
        <is>
          <t>hcris_derived_with_state_agency</t>
        </is>
      </c>
      <c r="P15" s="26" t="n">
        <v>0.85</v>
      </c>
    </row>
    <row r="16">
      <c r="A16" t="inlineStr">
        <is>
          <t>151307</t>
        </is>
      </c>
      <c r="B16" t="inlineStr">
        <is>
          <t>ASCENSION ST VINCENT WILLIAMSPORT</t>
        </is>
      </c>
      <c r="C16" t="inlineStr">
        <is>
          <t>WILLIAMSPORT</t>
        </is>
      </c>
      <c r="D16" t="inlineStr">
        <is>
          <t>IN</t>
        </is>
      </c>
      <c r="E16" t="inlineStr">
        <is>
          <t>WARREN</t>
        </is>
      </c>
      <c r="F16" t="inlineStr">
        <is>
          <t>Critical Access Hospitals</t>
        </is>
      </c>
      <c r="G16" t="inlineStr">
        <is>
          <t>Voluntary non-profit - Church</t>
        </is>
      </c>
      <c r="H16" s="24" t="n">
        <v>73</v>
      </c>
      <c r="I16" t="inlineStr"/>
      <c r="J16" t="inlineStr"/>
      <c r="K16" s="25" t="n">
        <v>0.1603</v>
      </c>
      <c r="L16" s="24" t="n">
        <v>19.7</v>
      </c>
      <c r="M16" s="24" t="n">
        <v>51.957875</v>
      </c>
      <c r="N16" s="24" t="n">
        <v>88.34999999999999</v>
      </c>
      <c r="O16" t="inlineStr">
        <is>
          <t>hcris_derived_with_state_agency</t>
        </is>
      </c>
      <c r="P16" s="26" t="n">
        <v>0.85</v>
      </c>
    </row>
    <row r="17">
      <c r="A17" t="inlineStr">
        <is>
          <t>151308</t>
        </is>
      </c>
      <c r="B17" t="inlineStr">
        <is>
          <t>ASCENSION ST VINCENT MERCY</t>
        </is>
      </c>
      <c r="C17" t="inlineStr">
        <is>
          <t>ELWOOD</t>
        </is>
      </c>
      <c r="D17" t="inlineStr">
        <is>
          <t>IN</t>
        </is>
      </c>
      <c r="E17" t="inlineStr">
        <is>
          <t>MADISON</t>
        </is>
      </c>
      <c r="F17" t="inlineStr">
        <is>
          <t>Critical Access Hospitals</t>
        </is>
      </c>
      <c r="G17" t="inlineStr">
        <is>
          <t>Voluntary non-profit - Church</t>
        </is>
      </c>
      <c r="H17" s="24" t="n">
        <v>67</v>
      </c>
      <c r="I17" t="inlineStr"/>
      <c r="J17" t="inlineStr"/>
      <c r="K17" s="25" t="n">
        <v>0.1005</v>
      </c>
      <c r="L17" s="24" t="n">
        <v>18</v>
      </c>
      <c r="M17" s="24" t="n">
        <v>52.931425</v>
      </c>
      <c r="N17" s="24" t="n">
        <v>88.34999999999999</v>
      </c>
      <c r="O17" t="inlineStr">
        <is>
          <t>hcris_derived_with_state_agency</t>
        </is>
      </c>
      <c r="P17" s="26" t="n">
        <v>0.85</v>
      </c>
    </row>
    <row r="18">
      <c r="A18" t="inlineStr">
        <is>
          <t>151309</t>
        </is>
      </c>
      <c r="B18" t="inlineStr">
        <is>
          <t>ASCENSION ST VINCENT CLAY</t>
        </is>
      </c>
      <c r="C18" t="inlineStr">
        <is>
          <t>BRAZIL</t>
        </is>
      </c>
      <c r="D18" t="inlineStr">
        <is>
          <t>IN</t>
        </is>
      </c>
      <c r="E18" t="inlineStr">
        <is>
          <t>CLAY</t>
        </is>
      </c>
      <c r="F18" t="inlineStr">
        <is>
          <t>Critical Access Hospitals</t>
        </is>
      </c>
      <c r="G18" t="inlineStr">
        <is>
          <t>Voluntary non-profit - Private</t>
        </is>
      </c>
      <c r="H18" s="24" t="n">
        <v>50</v>
      </c>
      <c r="I18" t="inlineStr"/>
      <c r="J18" t="inlineStr"/>
      <c r="K18" s="25" t="n">
        <v>0.1332</v>
      </c>
      <c r="L18" s="24" t="n">
        <v>13.5</v>
      </c>
      <c r="M18" s="24" t="n">
        <v>51.957875</v>
      </c>
      <c r="N18" s="24" t="n">
        <v>88.34999999999999</v>
      </c>
      <c r="O18" t="inlineStr">
        <is>
          <t>hcris_derived_with_state_agency</t>
        </is>
      </c>
      <c r="P18" s="26" t="n">
        <v>0.85</v>
      </c>
    </row>
    <row r="19">
      <c r="A19" t="inlineStr">
        <is>
          <t>151314</t>
        </is>
      </c>
      <c r="B19" t="inlineStr">
        <is>
          <t>ASCENSION ST VINCENT SALEM</t>
        </is>
      </c>
      <c r="C19" t="inlineStr">
        <is>
          <t>SALEM</t>
        </is>
      </c>
      <c r="D19" t="inlineStr">
        <is>
          <t>IN</t>
        </is>
      </c>
      <c r="E19" t="inlineStr">
        <is>
          <t>WASHINGTON</t>
        </is>
      </c>
      <c r="F19" t="inlineStr">
        <is>
          <t>Critical Access Hospitals</t>
        </is>
      </c>
      <c r="G19" t="inlineStr">
        <is>
          <t>Voluntary non-profit - Private</t>
        </is>
      </c>
      <c r="H19" s="24" t="n">
        <v>53</v>
      </c>
      <c r="I19" t="inlineStr"/>
      <c r="J19" t="inlineStr"/>
      <c r="K19" s="25" t="n">
        <v>0.1157</v>
      </c>
      <c r="L19" s="24" t="n">
        <v>14.3</v>
      </c>
      <c r="M19" s="24" t="n">
        <v>51.68257499999999</v>
      </c>
      <c r="N19" s="24" t="n">
        <v>88.34999999999999</v>
      </c>
      <c r="O19" t="inlineStr">
        <is>
          <t>hcris_derived_with_state_agency</t>
        </is>
      </c>
      <c r="P19" s="26" t="n">
        <v>0.85</v>
      </c>
    </row>
    <row r="20">
      <c r="A20" t="inlineStr">
        <is>
          <t>151325</t>
        </is>
      </c>
      <c r="B20" t="inlineStr">
        <is>
          <t>ASCENSION ST VINCENT WARRICK</t>
        </is>
      </c>
      <c r="C20" t="inlineStr">
        <is>
          <t>BOONVILLE</t>
        </is>
      </c>
      <c r="D20" t="inlineStr">
        <is>
          <t>IN</t>
        </is>
      </c>
      <c r="E20" t="inlineStr">
        <is>
          <t>WARRICK</t>
        </is>
      </c>
      <c r="F20" t="inlineStr">
        <is>
          <t>Critical Access Hospitals</t>
        </is>
      </c>
      <c r="G20" t="inlineStr">
        <is>
          <t>Voluntary non-profit - Private</t>
        </is>
      </c>
      <c r="H20" s="24" t="n">
        <v>59</v>
      </c>
      <c r="I20" t="inlineStr"/>
      <c r="J20" t="inlineStr"/>
      <c r="K20" s="25" t="n">
        <v>0.0073</v>
      </c>
      <c r="L20" s="24" t="n">
        <v>15.9</v>
      </c>
      <c r="M20" s="24" t="n">
        <v>51.957875</v>
      </c>
      <c r="N20" s="24" t="n">
        <v>88.34999999999999</v>
      </c>
      <c r="O20" t="inlineStr">
        <is>
          <t>hcris_derived_with_state_agency</t>
        </is>
      </c>
      <c r="P20" s="26" t="n">
        <v>0.85</v>
      </c>
    </row>
    <row r="21">
      <c r="A21" t="inlineStr">
        <is>
          <t>170122</t>
        </is>
      </c>
      <c r="B21" t="inlineStr">
        <is>
          <t>ASCENSION VIA CHRISTI HOSPITALS WICHITA, INC.</t>
        </is>
      </c>
      <c r="C21" t="inlineStr">
        <is>
          <t>WICHITA</t>
        </is>
      </c>
      <c r="D21" t="inlineStr">
        <is>
          <t>KS</t>
        </is>
      </c>
      <c r="E21" t="inlineStr">
        <is>
          <t>SEDGWICK</t>
        </is>
      </c>
      <c r="F21" t="inlineStr">
        <is>
          <t>Acute Care Hospitals</t>
        </is>
      </c>
      <c r="G21" t="inlineStr">
        <is>
          <t>Voluntary non-profit - Private</t>
        </is>
      </c>
      <c r="H21" s="24" t="n">
        <v>2496</v>
      </c>
      <c r="I21" s="24" t="n">
        <v>36585089</v>
      </c>
      <c r="J21" s="25" t="n">
        <v>0.1629</v>
      </c>
      <c r="K21" s="25" t="n">
        <v>0.0538</v>
      </c>
      <c r="L21" s="24" t="n">
        <v>160.3</v>
      </c>
      <c r="M21" s="24" t="n">
        <v>69.26466499999999</v>
      </c>
      <c r="N21" s="24" t="n">
        <v>87.79000000000001</v>
      </c>
      <c r="O21" t="inlineStr">
        <is>
          <t>hcris_nmrc_agency_per_hospital</t>
        </is>
      </c>
      <c r="P21" s="26" t="n">
        <v>0.92</v>
      </c>
    </row>
    <row r="22">
      <c r="A22" t="inlineStr">
        <is>
          <t>170142</t>
        </is>
      </c>
      <c r="B22" t="inlineStr">
        <is>
          <t>ASCENSION VIA CHRISTI HOSPITAL MANHATTAN, INC</t>
        </is>
      </c>
      <c r="C22" t="inlineStr">
        <is>
          <t>MANHATTAN</t>
        </is>
      </c>
      <c r="D22" t="inlineStr">
        <is>
          <t>KS</t>
        </is>
      </c>
      <c r="E22" t="inlineStr">
        <is>
          <t>RILEY</t>
        </is>
      </c>
      <c r="F22" t="inlineStr">
        <is>
          <t>Acute Care Hospitals</t>
        </is>
      </c>
      <c r="G22" t="inlineStr">
        <is>
          <t>Voluntary non-profit - Private</t>
        </is>
      </c>
      <c r="H22" s="24" t="n">
        <v>340</v>
      </c>
      <c r="I22" s="24" t="n">
        <v>2177349</v>
      </c>
      <c r="J22" s="25" t="n">
        <v>0.0624</v>
      </c>
      <c r="K22" s="25" t="n">
        <v>0.1788</v>
      </c>
      <c r="L22" s="24" t="n">
        <v>11.9</v>
      </c>
      <c r="M22" s="24" t="n">
        <v>79.67392500000001</v>
      </c>
      <c r="N22" s="24" t="n">
        <v>79.67392500000001</v>
      </c>
      <c r="O22" t="inlineStr">
        <is>
          <t>hcris_nmrc_agency_per_hospital</t>
        </is>
      </c>
      <c r="P22" s="26" t="n">
        <v>0.92</v>
      </c>
    </row>
    <row r="23">
      <c r="A23" t="inlineStr">
        <is>
          <t>230019</t>
        </is>
      </c>
      <c r="B23" t="inlineStr">
        <is>
          <t>ASCENSION PROVIDENCE HOSPITAL, SOUTHFIELD AND NOVI</t>
        </is>
      </c>
      <c r="C23" t="inlineStr">
        <is>
          <t>SOUTHFIELD</t>
        </is>
      </c>
      <c r="D23" t="inlineStr">
        <is>
          <t>MI</t>
        </is>
      </c>
      <c r="E23" t="inlineStr">
        <is>
          <t>OAKLAND</t>
        </is>
      </c>
      <c r="F23" t="inlineStr">
        <is>
          <t>Acute Care Hospitals</t>
        </is>
      </c>
      <c r="G23" t="inlineStr">
        <is>
          <t>Voluntary non-profit - Church</t>
        </is>
      </c>
      <c r="H23" s="24" t="n">
        <v>3482</v>
      </c>
      <c r="I23" s="24" t="n">
        <v>9005074</v>
      </c>
      <c r="J23" s="25" t="n">
        <v>0.0273</v>
      </c>
      <c r="K23" s="25" t="n">
        <v>0.1219</v>
      </c>
      <c r="L23" s="24" t="n">
        <v>32.3</v>
      </c>
      <c r="M23" s="24" t="n">
        <v>50.545025</v>
      </c>
      <c r="N23" s="24" t="n">
        <v>107.09</v>
      </c>
      <c r="O23" t="inlineStr">
        <is>
          <t>hcris_nmrc_agency_per_hospital</t>
        </is>
      </c>
      <c r="P23" s="26" t="n">
        <v>0.92</v>
      </c>
    </row>
    <row r="24">
      <c r="A24" t="inlineStr">
        <is>
          <t>230197</t>
        </is>
      </c>
      <c r="B24" t="inlineStr">
        <is>
          <t>ASCENSION GENESYS HOSPITAL</t>
        </is>
      </c>
      <c r="C24" t="inlineStr">
        <is>
          <t>GRAND BLANC</t>
        </is>
      </c>
      <c r="D24" t="inlineStr">
        <is>
          <t>MI</t>
        </is>
      </c>
      <c r="E24" t="inlineStr">
        <is>
          <t>GENESEE</t>
        </is>
      </c>
      <c r="F24" t="inlineStr">
        <is>
          <t>Acute Care Hospitals</t>
        </is>
      </c>
      <c r="G24" t="inlineStr">
        <is>
          <t>Voluntary non-profit - Church</t>
        </is>
      </c>
      <c r="H24" s="24" t="n">
        <v>1684</v>
      </c>
      <c r="I24" s="24" t="n">
        <v>11467991</v>
      </c>
      <c r="J24" s="25" t="n">
        <v>0.0727</v>
      </c>
      <c r="K24" s="25" t="n">
        <v>0.021</v>
      </c>
      <c r="L24" s="24" t="n">
        <v>49.2</v>
      </c>
      <c r="M24" s="24" t="n">
        <v>77.984145</v>
      </c>
      <c r="N24" s="24" t="n">
        <v>89.61</v>
      </c>
      <c r="O24" t="inlineStr">
        <is>
          <t>hcris_nmrc_agency_per_hospital</t>
        </is>
      </c>
      <c r="P24" s="26" t="n">
        <v>0.92</v>
      </c>
    </row>
    <row r="25">
      <c r="A25" t="inlineStr">
        <is>
          <t>230241</t>
        </is>
      </c>
      <c r="B25" t="inlineStr">
        <is>
          <t>ASCENSION RIVER DISTRICT HOSPITAL</t>
        </is>
      </c>
      <c r="C25" t="inlineStr">
        <is>
          <t>EAST CHINA</t>
        </is>
      </c>
      <c r="D25" t="inlineStr">
        <is>
          <t>MI</t>
        </is>
      </c>
      <c r="E25" t="inlineStr">
        <is>
          <t>ST. CLAIR</t>
        </is>
      </c>
      <c r="F25" t="inlineStr">
        <is>
          <t>Acute Care Hospitals</t>
        </is>
      </c>
      <c r="G25" t="inlineStr">
        <is>
          <t>Government - Hospital District or Authority</t>
        </is>
      </c>
      <c r="H25" s="24" t="n">
        <v>134</v>
      </c>
      <c r="I25" t="inlineStr"/>
      <c r="J25" t="inlineStr"/>
      <c r="K25" s="25" t="n">
        <v>-0.5071</v>
      </c>
      <c r="L25" s="24" t="n">
        <v>36.1</v>
      </c>
      <c r="M25" s="24" t="n">
        <v>52.445025</v>
      </c>
      <c r="N25" s="24" t="n">
        <v>97.54000000000001</v>
      </c>
      <c r="O25" t="inlineStr">
        <is>
          <t>hcris_nmrc_agency_per_hospital</t>
        </is>
      </c>
      <c r="P25" s="26" t="n">
        <v>0.92</v>
      </c>
    </row>
    <row r="26">
      <c r="A26" t="inlineStr">
        <is>
          <t>230254</t>
        </is>
      </c>
      <c r="B26" t="inlineStr">
        <is>
          <t>ASCENSION PROVIDENCE ROCHESTER HOSPITAL</t>
        </is>
      </c>
      <c r="C26" t="inlineStr">
        <is>
          <t>ROCHESTER</t>
        </is>
      </c>
      <c r="D26" t="inlineStr">
        <is>
          <t>MI</t>
        </is>
      </c>
      <c r="E26" t="inlineStr">
        <is>
          <t>OAKLAND</t>
        </is>
      </c>
      <c r="F26" t="inlineStr">
        <is>
          <t>Acute Care Hospitals</t>
        </is>
      </c>
      <c r="G26" t="inlineStr">
        <is>
          <t>Voluntary non-profit - Private</t>
        </is>
      </c>
      <c r="H26" s="24" t="n">
        <v>875</v>
      </c>
      <c r="I26" s="24" t="n">
        <v>15122603</v>
      </c>
      <c r="J26" s="25" t="n">
        <v>0.1386</v>
      </c>
      <c r="K26" s="25" t="n">
        <v>-0.0117</v>
      </c>
      <c r="L26" s="24" t="n">
        <v>110.2</v>
      </c>
      <c r="M26" s="24" t="n">
        <v>49.74502500000001</v>
      </c>
      <c r="N26" s="24" t="n">
        <v>52.76</v>
      </c>
      <c r="O26" t="inlineStr">
        <is>
          <t>hcris_nmrc_agency_per_hospital</t>
        </is>
      </c>
      <c r="P26" s="26" t="n">
        <v>0.92</v>
      </c>
    </row>
    <row r="27">
      <c r="A27" t="inlineStr">
        <is>
          <t>231315</t>
        </is>
      </c>
      <c r="B27" t="inlineStr">
        <is>
          <t>ASCENSION BORGESS LEE HOSPITAL</t>
        </is>
      </c>
      <c r="C27" t="inlineStr">
        <is>
          <t>DOWAGIAC</t>
        </is>
      </c>
      <c r="D27" t="inlineStr">
        <is>
          <t>MI</t>
        </is>
      </c>
      <c r="E27" t="inlineStr">
        <is>
          <t>CASS</t>
        </is>
      </c>
      <c r="F27" t="inlineStr">
        <is>
          <t>Critical Access Hospitals</t>
        </is>
      </c>
      <c r="G27" t="inlineStr">
        <is>
          <t>Voluntary non-profit - Church</t>
        </is>
      </c>
      <c r="H27" s="24" t="n">
        <v>56</v>
      </c>
      <c r="I27" t="inlineStr"/>
      <c r="J27" t="inlineStr"/>
      <c r="K27" s="25" t="n">
        <v>-0.0239</v>
      </c>
      <c r="L27" s="24" t="n">
        <v>15.2</v>
      </c>
      <c r="M27" s="24" t="n">
        <v>51.0559</v>
      </c>
      <c r="N27" s="24" t="n">
        <v>95.03</v>
      </c>
      <c r="O27" t="inlineStr">
        <is>
          <t>hcris_derived_with_state_agency</t>
        </is>
      </c>
      <c r="P27" s="26" t="n">
        <v>0.85</v>
      </c>
    </row>
    <row r="28">
      <c r="A28" t="inlineStr">
        <is>
          <t>231328</t>
        </is>
      </c>
      <c r="B28" t="inlineStr">
        <is>
          <t>ASCENSION BORGESS ALLEGAN HOSPITAL</t>
        </is>
      </c>
      <c r="C28" t="inlineStr">
        <is>
          <t>ALLEGAN</t>
        </is>
      </c>
      <c r="D28" t="inlineStr">
        <is>
          <t>MI</t>
        </is>
      </c>
      <c r="E28" t="inlineStr">
        <is>
          <t>ALLEGAN</t>
        </is>
      </c>
      <c r="F28" t="inlineStr">
        <is>
          <t>Critical Access Hospitals</t>
        </is>
      </c>
      <c r="G28" t="inlineStr">
        <is>
          <t>Voluntary non-profit - Private</t>
        </is>
      </c>
      <c r="H28" s="24" t="n">
        <v>111</v>
      </c>
      <c r="I28" t="inlineStr"/>
      <c r="J28" t="inlineStr"/>
      <c r="K28" s="25" t="n">
        <v>0.165</v>
      </c>
      <c r="L28" s="24" t="n">
        <v>29.9</v>
      </c>
      <c r="M28" s="24" t="n">
        <v>50.4459</v>
      </c>
      <c r="N28" s="24" t="n">
        <v>95.03</v>
      </c>
      <c r="O28" t="inlineStr">
        <is>
          <t>hcris_derived_with_state_agency</t>
        </is>
      </c>
      <c r="P28" s="26" t="n">
        <v>0.85</v>
      </c>
    </row>
    <row r="29">
      <c r="A29" t="inlineStr">
        <is>
          <t>370018</t>
        </is>
      </c>
      <c r="B29" t="inlineStr">
        <is>
          <t>ASCENSION ST JOHN JANE PHILLIPS</t>
        </is>
      </c>
      <c r="C29" t="inlineStr">
        <is>
          <t>BARTLESVILLE</t>
        </is>
      </c>
      <c r="D29" t="inlineStr">
        <is>
          <t>OK</t>
        </is>
      </c>
      <c r="E29" t="inlineStr">
        <is>
          <t>WASHINGTON</t>
        </is>
      </c>
      <c r="F29" t="inlineStr">
        <is>
          <t>Acute Care Hospitals</t>
        </is>
      </c>
      <c r="G29" t="inlineStr">
        <is>
          <t>Voluntary non-profit - Private</t>
        </is>
      </c>
      <c r="H29" s="24" t="n">
        <v>381</v>
      </c>
      <c r="I29" s="24" t="n">
        <v>1810476</v>
      </c>
      <c r="J29" s="25" t="n">
        <v>0.0491</v>
      </c>
      <c r="K29" s="25" t="n">
        <v>0.1552</v>
      </c>
      <c r="L29" s="24" t="n">
        <v>10.3</v>
      </c>
      <c r="M29" s="24" t="n">
        <v>74.67907</v>
      </c>
      <c r="N29" s="24" t="n">
        <v>74.67907</v>
      </c>
      <c r="O29" t="inlineStr">
        <is>
          <t>hcris_nmrc_agency_per_hospital</t>
        </is>
      </c>
      <c r="P29" s="26" t="n">
        <v>0.92</v>
      </c>
    </row>
    <row r="30">
      <c r="A30" t="inlineStr">
        <is>
          <t>370114</t>
        </is>
      </c>
      <c r="B30" t="inlineStr">
        <is>
          <t>ASCENSION ST JOHN MEDICAL CENTER</t>
        </is>
      </c>
      <c r="C30" t="inlineStr">
        <is>
          <t>TULSA</t>
        </is>
      </c>
      <c r="D30" t="inlineStr">
        <is>
          <t>OK</t>
        </is>
      </c>
      <c r="E30" t="inlineStr">
        <is>
          <t>TULSA</t>
        </is>
      </c>
      <c r="F30" t="inlineStr">
        <is>
          <t>Acute Care Hospitals</t>
        </is>
      </c>
      <c r="G30" t="inlineStr">
        <is>
          <t>Voluntary non-profit - Private</t>
        </is>
      </c>
      <c r="H30" s="24" t="n">
        <v>1944</v>
      </c>
      <c r="I30" s="24" t="n">
        <v>22943595</v>
      </c>
      <c r="J30" s="25" t="n">
        <v>0.1227</v>
      </c>
      <c r="K30" s="25" t="n">
        <v>0.1186</v>
      </c>
      <c r="L30" s="24" t="n">
        <v>129.5</v>
      </c>
      <c r="M30" s="24" t="n">
        <v>73.705685</v>
      </c>
      <c r="N30" s="24" t="n">
        <v>73.705685</v>
      </c>
      <c r="O30" t="inlineStr">
        <is>
          <t>hcris_nmrc_agency_per_hospital</t>
        </is>
      </c>
      <c r="P30" s="26" t="n">
        <v>0.92</v>
      </c>
    </row>
    <row r="31">
      <c r="A31" t="inlineStr">
        <is>
          <t>370235</t>
        </is>
      </c>
      <c r="B31" t="inlineStr">
        <is>
          <t>ASCENSION ST JOHN BROKEN ARROW</t>
        </is>
      </c>
      <c r="C31" t="inlineStr">
        <is>
          <t>BROKEN ARROW</t>
        </is>
      </c>
      <c r="D31" t="inlineStr">
        <is>
          <t>OK</t>
        </is>
      </c>
      <c r="E31" t="inlineStr">
        <is>
          <t>TULSA</t>
        </is>
      </c>
      <c r="F31" t="inlineStr">
        <is>
          <t>Acute Care Hospitals</t>
        </is>
      </c>
      <c r="G31" t="inlineStr">
        <is>
          <t>Voluntary non-profit - Private</t>
        </is>
      </c>
      <c r="H31" s="24" t="n">
        <v>218</v>
      </c>
      <c r="I31" s="24" t="n">
        <v>647936</v>
      </c>
      <c r="J31" s="25" t="n">
        <v>0.0341</v>
      </c>
      <c r="K31" s="25" t="n">
        <v>0.2102</v>
      </c>
      <c r="L31" s="24" t="n">
        <v>3.6</v>
      </c>
      <c r="M31" s="24" t="n">
        <v>69.790995</v>
      </c>
      <c r="N31" s="24" t="n">
        <v>69.790995</v>
      </c>
      <c r="O31" t="inlineStr">
        <is>
          <t>hcris_nmrc_agency_per_hospital</t>
        </is>
      </c>
      <c r="P31" s="26" t="n">
        <v>0.92</v>
      </c>
    </row>
    <row r="32">
      <c r="A32" t="inlineStr">
        <is>
          <t>371305</t>
        </is>
      </c>
      <c r="B32" t="inlineStr">
        <is>
          <t>ASCENSION ST JOHN NOWATA</t>
        </is>
      </c>
      <c r="C32" t="inlineStr">
        <is>
          <t>NOWATA</t>
        </is>
      </c>
      <c r="D32" t="inlineStr">
        <is>
          <t>OK</t>
        </is>
      </c>
      <c r="E32" t="inlineStr">
        <is>
          <t>NOWATA</t>
        </is>
      </c>
      <c r="F32" t="inlineStr">
        <is>
          <t>Critical Access Hospitals</t>
        </is>
      </c>
      <c r="G32" t="inlineStr">
        <is>
          <t>Voluntary non-profit - Private</t>
        </is>
      </c>
      <c r="H32" s="24" t="n">
        <v>28</v>
      </c>
      <c r="I32" t="inlineStr"/>
      <c r="J32" t="inlineStr"/>
      <c r="K32" s="25" t="n">
        <v>-0.0476</v>
      </c>
      <c r="L32" s="24" t="n">
        <v>7.6</v>
      </c>
      <c r="M32" s="24" t="n">
        <v>54.297925</v>
      </c>
      <c r="N32" s="24" t="n">
        <v>83.81</v>
      </c>
      <c r="O32" t="inlineStr">
        <is>
          <t>hcris_derived_with_state_agency</t>
        </is>
      </c>
      <c r="P32" s="26" t="n">
        <v>0.85</v>
      </c>
    </row>
    <row r="33">
      <c r="A33" t="inlineStr">
        <is>
          <t>371312</t>
        </is>
      </c>
      <c r="B33" t="inlineStr">
        <is>
          <t>ASCENSION ST JOHN SAPULPA</t>
        </is>
      </c>
      <c r="C33" t="inlineStr">
        <is>
          <t>SAPULPA</t>
        </is>
      </c>
      <c r="D33" t="inlineStr">
        <is>
          <t>OK</t>
        </is>
      </c>
      <c r="E33" t="inlineStr">
        <is>
          <t>CREEK</t>
        </is>
      </c>
      <c r="F33" t="inlineStr">
        <is>
          <t>Critical Access Hospitals</t>
        </is>
      </c>
      <c r="G33" t="inlineStr">
        <is>
          <t>Voluntary non-profit - Private</t>
        </is>
      </c>
      <c r="H33" s="24" t="n">
        <v>112</v>
      </c>
      <c r="I33" t="inlineStr"/>
      <c r="J33" t="inlineStr"/>
      <c r="K33" s="25" t="n">
        <v>0.1349</v>
      </c>
      <c r="L33" s="24" t="n">
        <v>30.2</v>
      </c>
      <c r="M33" s="24" t="n">
        <v>54.307925</v>
      </c>
      <c r="N33" s="24" t="n">
        <v>83.81</v>
      </c>
      <c r="O33" t="inlineStr">
        <is>
          <t>hcris_derived_with_state_agency</t>
        </is>
      </c>
      <c r="P33" s="26" t="n">
        <v>0.85</v>
      </c>
    </row>
    <row r="34">
      <c r="A34" t="inlineStr">
        <is>
          <t>440003</t>
        </is>
      </c>
      <c r="B34" t="inlineStr">
        <is>
          <t>HIGHPOINT HEALTH-SUMNER WITH ASCENSION SAINT THOMA</t>
        </is>
      </c>
      <c r="C34" t="inlineStr">
        <is>
          <t>GALLATIN</t>
        </is>
      </c>
      <c r="D34" t="inlineStr">
        <is>
          <t>TN</t>
        </is>
      </c>
      <c r="E34" t="inlineStr">
        <is>
          <t>SUMNER</t>
        </is>
      </c>
      <c r="F34" t="inlineStr">
        <is>
          <t>Acute Care Hospitals</t>
        </is>
      </c>
      <c r="G34" t="inlineStr">
        <is>
          <t>Proprietary</t>
        </is>
      </c>
      <c r="H34" s="24" t="n">
        <v>788</v>
      </c>
      <c r="I34" s="24" t="n">
        <v>2569683</v>
      </c>
      <c r="J34" s="25" t="n">
        <v>0.0356</v>
      </c>
      <c r="K34" s="25" t="n">
        <v>0.3216</v>
      </c>
      <c r="L34" s="24" t="n">
        <v>12.4</v>
      </c>
      <c r="M34" s="24" t="n">
        <v>44.989025</v>
      </c>
      <c r="N34" s="24" t="n">
        <v>79.68000000000001</v>
      </c>
      <c r="O34" t="inlineStr">
        <is>
          <t>hcris_nmrc_agency_per_hospital</t>
        </is>
      </c>
      <c r="P34" s="26" t="n">
        <v>0.92</v>
      </c>
    </row>
    <row r="35">
      <c r="A35" t="inlineStr">
        <is>
          <t>440082</t>
        </is>
      </c>
      <c r="B35" t="inlineStr">
        <is>
          <t>ASCENSION SAINT THOMAS HOSPITAL</t>
        </is>
      </c>
      <c r="C35" t="inlineStr">
        <is>
          <t>NASHVILLE</t>
        </is>
      </c>
      <c r="D35" t="inlineStr">
        <is>
          <t>TN</t>
        </is>
      </c>
      <c r="E35" t="inlineStr">
        <is>
          <t>DAVIDSON</t>
        </is>
      </c>
      <c r="F35" t="inlineStr">
        <is>
          <t>Acute Care Hospitals</t>
        </is>
      </c>
      <c r="G35" t="inlineStr">
        <is>
          <t>Voluntary non-profit - Private</t>
        </is>
      </c>
      <c r="H35" s="24" t="n">
        <v>3290</v>
      </c>
      <c r="I35" s="24" t="n">
        <v>41442244</v>
      </c>
      <c r="J35" s="25" t="n">
        <v>0.1246</v>
      </c>
      <c r="K35" s="25" t="n">
        <v>0.0956</v>
      </c>
      <c r="L35" s="24" t="n">
        <v>282.5</v>
      </c>
      <c r="M35" s="24" t="n">
        <v>46.209025</v>
      </c>
      <c r="N35" s="24" t="n">
        <v>56.43</v>
      </c>
      <c r="O35" t="inlineStr">
        <is>
          <t>hcris_nmrc_agency_per_hospital</t>
        </is>
      </c>
      <c r="P35" s="26" t="n">
        <v>0.92</v>
      </c>
    </row>
    <row r="36">
      <c r="A36" t="inlineStr">
        <is>
          <t>441301</t>
        </is>
      </c>
      <c r="B36" t="inlineStr">
        <is>
          <t>HIGHPOINT HEALTH-TROUSDALE WITH ASCENSION SAINT</t>
        </is>
      </c>
      <c r="C36" t="inlineStr">
        <is>
          <t>HARTSVILLE</t>
        </is>
      </c>
      <c r="D36" t="inlineStr">
        <is>
          <t>TN</t>
        </is>
      </c>
      <c r="E36" t="inlineStr">
        <is>
          <t>TROUSDALE</t>
        </is>
      </c>
      <c r="F36" t="inlineStr">
        <is>
          <t>Critical Access Hospitals</t>
        </is>
      </c>
      <c r="G36" t="inlineStr">
        <is>
          <t>Voluntary non-profit - Other</t>
        </is>
      </c>
      <c r="H36" s="24" t="n">
        <v>59</v>
      </c>
      <c r="I36" t="inlineStr"/>
      <c r="J36" t="inlineStr"/>
      <c r="K36" s="25" t="n">
        <v>0.2201</v>
      </c>
      <c r="L36" s="24" t="n">
        <v>15.9</v>
      </c>
      <c r="M36" s="24" t="n">
        <v>50.719025</v>
      </c>
      <c r="N36" s="24" t="n">
        <v>83.79000000000001</v>
      </c>
      <c r="O36" t="inlineStr">
        <is>
          <t>hcris_derived_with_state_agency</t>
        </is>
      </c>
      <c r="P36" s="26" t="n">
        <v>0.85</v>
      </c>
    </row>
    <row r="37">
      <c r="A37" t="inlineStr">
        <is>
          <t>441303</t>
        </is>
      </c>
      <c r="B37" t="inlineStr">
        <is>
          <t>ASCENSION SAINT THOMAS THREE RIVERS</t>
        </is>
      </c>
      <c r="C37" t="inlineStr">
        <is>
          <t>WAVERLY</t>
        </is>
      </c>
      <c r="D37" t="inlineStr">
        <is>
          <t>TN</t>
        </is>
      </c>
      <c r="E37" t="inlineStr">
        <is>
          <t>HUMPHREYS</t>
        </is>
      </c>
      <c r="F37" t="inlineStr">
        <is>
          <t>Critical Access Hospitals</t>
        </is>
      </c>
      <c r="G37" t="inlineStr">
        <is>
          <t>Voluntary non-profit - Private</t>
        </is>
      </c>
      <c r="H37" s="24" t="n">
        <v>63</v>
      </c>
      <c r="I37" t="inlineStr"/>
      <c r="J37" t="inlineStr"/>
      <c r="K37" s="25" t="n">
        <v>-0.0702</v>
      </c>
      <c r="L37" s="24" t="n">
        <v>16.9</v>
      </c>
      <c r="M37" s="24" t="n">
        <v>49.2787</v>
      </c>
      <c r="N37" s="24" t="n">
        <v>83.79000000000001</v>
      </c>
      <c r="O37" t="inlineStr">
        <is>
          <t>hcris_derived_with_state_agency</t>
        </is>
      </c>
      <c r="P37" s="26" t="n">
        <v>0.85</v>
      </c>
    </row>
    <row r="38">
      <c r="A38" t="inlineStr">
        <is>
          <t>441307</t>
        </is>
      </c>
      <c r="B38" t="inlineStr">
        <is>
          <t>HIGHPOINT HEALTH-RIVERVIEW WITH ASCENSION SAINT TH</t>
        </is>
      </c>
      <c r="C38" t="inlineStr">
        <is>
          <t>CARTHAGE</t>
        </is>
      </c>
      <c r="D38" t="inlineStr">
        <is>
          <t>TN</t>
        </is>
      </c>
      <c r="E38" t="inlineStr">
        <is>
          <t>SMITH</t>
        </is>
      </c>
      <c r="F38" t="inlineStr">
        <is>
          <t>Critical Access Hospitals</t>
        </is>
      </c>
      <c r="G38" t="inlineStr">
        <is>
          <t>Proprietary</t>
        </is>
      </c>
      <c r="H38" s="24" t="n">
        <v>153</v>
      </c>
      <c r="I38" t="inlineStr"/>
      <c r="J38" t="inlineStr"/>
      <c r="K38" s="25" t="n">
        <v>0.1342</v>
      </c>
      <c r="L38" s="24" t="n">
        <v>41.3</v>
      </c>
      <c r="M38" s="24" t="n">
        <v>50.72902500000001</v>
      </c>
      <c r="N38" s="24" t="n">
        <v>83.79000000000001</v>
      </c>
      <c r="O38" t="inlineStr">
        <is>
          <t>hcris_derived_with_state_agency</t>
        </is>
      </c>
      <c r="P38" s="26" t="n">
        <v>0.85</v>
      </c>
    </row>
    <row r="39">
      <c r="A39" t="inlineStr">
        <is>
          <t>444030</t>
        </is>
      </c>
      <c r="B39" t="inlineStr">
        <is>
          <t>ASCENSION SAINT THOMAS BEHAVIORAL HEALTH HOSPITAL</t>
        </is>
      </c>
      <c r="C39" t="inlineStr">
        <is>
          <t>NASHVILLE</t>
        </is>
      </c>
      <c r="D39" t="inlineStr">
        <is>
          <t>TN</t>
        </is>
      </c>
      <c r="E39" t="inlineStr">
        <is>
          <t>DAVIDSON</t>
        </is>
      </c>
      <c r="F39" t="inlineStr">
        <is>
          <t>Psychiatric</t>
        </is>
      </c>
      <c r="G39" t="inlineStr">
        <is>
          <t>Proprietary</t>
        </is>
      </c>
      <c r="H39" s="24" t="n">
        <v>112</v>
      </c>
      <c r="I39" t="inlineStr"/>
      <c r="J39" t="inlineStr"/>
      <c r="K39" s="25" t="n">
        <v>-0.07140000000000001</v>
      </c>
      <c r="L39" s="24" t="n">
        <v>30.1</v>
      </c>
      <c r="M39" s="24" t="n">
        <v>50.719025</v>
      </c>
      <c r="N39" s="24" t="n">
        <v>83.79000000000001</v>
      </c>
      <c r="O39" t="inlineStr">
        <is>
          <t>hcris_derived_with_state_agency</t>
        </is>
      </c>
      <c r="P39" s="26" t="n">
        <v>0.85</v>
      </c>
    </row>
    <row r="40">
      <c r="A40" t="inlineStr">
        <is>
          <t>450042</t>
        </is>
      </c>
      <c r="B40" t="inlineStr">
        <is>
          <t>ASCENSION PROVIDENCE</t>
        </is>
      </c>
      <c r="C40" t="inlineStr">
        <is>
          <t>WACO</t>
        </is>
      </c>
      <c r="D40" t="inlineStr">
        <is>
          <t>TX</t>
        </is>
      </c>
      <c r="E40" t="inlineStr">
        <is>
          <t>MC LENNAN</t>
        </is>
      </c>
      <c r="F40" t="inlineStr">
        <is>
          <t>Acute Care Hospitals</t>
        </is>
      </c>
      <c r="G40" t="inlineStr">
        <is>
          <t>Voluntary non-profit - Private</t>
        </is>
      </c>
      <c r="H40" s="24" t="n">
        <v>990</v>
      </c>
      <c r="I40" s="24" t="n">
        <v>11321087</v>
      </c>
      <c r="J40" s="25" t="n">
        <v>0.1133</v>
      </c>
      <c r="K40" s="25" t="n">
        <v>0.0039</v>
      </c>
      <c r="L40" s="24" t="n">
        <v>102.5</v>
      </c>
      <c r="M40" s="24" t="n">
        <v>79.48633500000001</v>
      </c>
      <c r="N40" s="24" t="n">
        <v>79.48633500000001</v>
      </c>
      <c r="O40" t="inlineStr">
        <is>
          <t>hcris_nmrc_agency_per_hospital</t>
        </is>
      </c>
      <c r="P40" s="26" t="n">
        <v>0.92</v>
      </c>
    </row>
    <row r="41">
      <c r="A41" t="inlineStr">
        <is>
          <t>450056</t>
        </is>
      </c>
      <c r="B41" t="inlineStr">
        <is>
          <t>ASCENSION SETON MEDICAL CENTER AUSTIN</t>
        </is>
      </c>
      <c r="C41" t="inlineStr">
        <is>
          <t>AUSTIN</t>
        </is>
      </c>
      <c r="D41" t="inlineStr">
        <is>
          <t>TX</t>
        </is>
      </c>
      <c r="E41" t="inlineStr">
        <is>
          <t>TRAVIS</t>
        </is>
      </c>
      <c r="F41" t="inlineStr">
        <is>
          <t>Acute Care Hospitals</t>
        </is>
      </c>
      <c r="G41" t="inlineStr">
        <is>
          <t>Voluntary non-profit - Private</t>
        </is>
      </c>
      <c r="H41" s="24" t="n">
        <v>1850</v>
      </c>
      <c r="I41" s="24" t="n">
        <v>25585690</v>
      </c>
      <c r="J41" s="25" t="n">
        <v>0.1264</v>
      </c>
      <c r="K41" s="25" t="n">
        <v>0.1769</v>
      </c>
      <c r="L41" s="24" t="n">
        <v>191.3</v>
      </c>
      <c r="M41" s="24" t="n">
        <v>57.315175</v>
      </c>
      <c r="N41" s="24" t="n">
        <v>57.315175</v>
      </c>
      <c r="O41" t="inlineStr">
        <is>
          <t>hcris_nmrc_agency_per_hospital</t>
        </is>
      </c>
      <c r="P41" s="26" t="n">
        <v>0.92</v>
      </c>
    </row>
    <row r="42">
      <c r="A42" t="inlineStr">
        <is>
          <t>450865</t>
        </is>
      </c>
      <c r="B42" t="inlineStr">
        <is>
          <t>ASCENSION SETON  SOUTHWEST</t>
        </is>
      </c>
      <c r="C42" t="inlineStr">
        <is>
          <t>AUSTIN</t>
        </is>
      </c>
      <c r="D42" t="inlineStr">
        <is>
          <t>TX</t>
        </is>
      </c>
      <c r="E42" t="inlineStr">
        <is>
          <t>HAYS</t>
        </is>
      </c>
      <c r="F42" t="inlineStr">
        <is>
          <t>Acute Care Hospitals</t>
        </is>
      </c>
      <c r="G42" t="inlineStr">
        <is>
          <t>Voluntary non-profit - Private</t>
        </is>
      </c>
      <c r="H42" s="24" t="n">
        <v>91</v>
      </c>
      <c r="I42" s="24" t="n">
        <v>81941</v>
      </c>
      <c r="J42" s="25" t="n">
        <v>0.008999999999999999</v>
      </c>
      <c r="K42" s="25" t="n">
        <v>0.2612</v>
      </c>
      <c r="L42" s="24" t="n">
        <v>0.5</v>
      </c>
      <c r="M42" s="24" t="n">
        <v>59.005175</v>
      </c>
      <c r="N42" s="24" t="n">
        <v>60.8</v>
      </c>
      <c r="O42" t="inlineStr">
        <is>
          <t>hcris_nmrc_agency_per_hospital</t>
        </is>
      </c>
      <c r="P42" s="26" t="n">
        <v>0.92</v>
      </c>
    </row>
    <row r="43">
      <c r="A43" t="inlineStr">
        <is>
          <t>450867</t>
        </is>
      </c>
      <c r="B43" t="inlineStr">
        <is>
          <t>ASCENSION SETON NORTHWEST</t>
        </is>
      </c>
      <c r="C43" t="inlineStr">
        <is>
          <t>AUSTIN</t>
        </is>
      </c>
      <c r="D43" t="inlineStr">
        <is>
          <t>TX</t>
        </is>
      </c>
      <c r="E43" t="inlineStr">
        <is>
          <t>TRAVIS</t>
        </is>
      </c>
      <c r="F43" t="inlineStr">
        <is>
          <t>Acute Care Hospitals</t>
        </is>
      </c>
      <c r="G43" t="inlineStr">
        <is>
          <t>Voluntary non-profit - Private</t>
        </is>
      </c>
      <c r="H43" s="24" t="n">
        <v>366</v>
      </c>
      <c r="I43" s="24" t="n">
        <v>626036</v>
      </c>
      <c r="J43" s="25" t="n">
        <v>0.0165</v>
      </c>
      <c r="K43" s="25" t="n">
        <v>0.1533</v>
      </c>
      <c r="L43" s="24" t="n">
        <v>3.6</v>
      </c>
      <c r="M43" s="24" t="n">
        <v>60.115175</v>
      </c>
      <c r="N43" s="24" t="n">
        <v>66.34</v>
      </c>
      <c r="O43" t="inlineStr">
        <is>
          <t>hcris_nmrc_agency_per_hospital</t>
        </is>
      </c>
      <c r="P43" s="26" t="n">
        <v>0.92</v>
      </c>
    </row>
    <row r="44">
      <c r="A44" t="inlineStr">
        <is>
          <t>451365</t>
        </is>
      </c>
      <c r="B44" t="inlineStr">
        <is>
          <t>ASCENSION SETON HIGHLAND LAKES</t>
        </is>
      </c>
      <c r="C44" t="inlineStr">
        <is>
          <t>BURNET</t>
        </is>
      </c>
      <c r="D44" t="inlineStr">
        <is>
          <t>TX</t>
        </is>
      </c>
      <c r="E44" t="inlineStr">
        <is>
          <t>BURNET</t>
        </is>
      </c>
      <c r="F44" t="inlineStr">
        <is>
          <t>Critical Access Hospitals</t>
        </is>
      </c>
      <c r="G44" t="inlineStr">
        <is>
          <t>Voluntary non-profit - Private</t>
        </is>
      </c>
      <c r="H44" s="24" t="n">
        <v>141</v>
      </c>
      <c r="I44" t="inlineStr"/>
      <c r="J44" t="inlineStr"/>
      <c r="K44" s="25" t="n">
        <v>0.3283</v>
      </c>
      <c r="L44" s="24" t="n">
        <v>38</v>
      </c>
      <c r="M44" s="24" t="n">
        <v>60.629825</v>
      </c>
      <c r="N44" s="24" t="n">
        <v>108.21</v>
      </c>
      <c r="O44" t="inlineStr">
        <is>
          <t>hcris_derived_with_state_agency</t>
        </is>
      </c>
      <c r="P44" s="26" t="n">
        <v>0.85</v>
      </c>
    </row>
    <row r="45">
      <c r="A45" t="inlineStr">
        <is>
          <t>451371</t>
        </is>
      </c>
      <c r="B45" t="inlineStr">
        <is>
          <t>ASCENSION SETON EDGAR B DAVIS</t>
        </is>
      </c>
      <c r="C45" t="inlineStr">
        <is>
          <t>LULING</t>
        </is>
      </c>
      <c r="D45" t="inlineStr">
        <is>
          <t>TX</t>
        </is>
      </c>
      <c r="E45" t="inlineStr">
        <is>
          <t>CALDWELL</t>
        </is>
      </c>
      <c r="F45" t="inlineStr">
        <is>
          <t>Critical Access Hospitals</t>
        </is>
      </c>
      <c r="G45" t="inlineStr">
        <is>
          <t>Voluntary non-profit - Private</t>
        </is>
      </c>
      <c r="H45" s="24" t="n">
        <v>81</v>
      </c>
      <c r="I45" t="inlineStr"/>
      <c r="J45" t="inlineStr"/>
      <c r="K45" s="25" t="n">
        <v>0.2099</v>
      </c>
      <c r="L45" s="24" t="n">
        <v>21.8</v>
      </c>
      <c r="M45" s="24" t="n">
        <v>63.255175</v>
      </c>
      <c r="N45" s="24" t="n">
        <v>108.21</v>
      </c>
      <c r="O45" t="inlineStr">
        <is>
          <t>hcris_derived_with_state_agency</t>
        </is>
      </c>
      <c r="P45" s="26" t="n">
        <v>0.85</v>
      </c>
    </row>
    <row r="46">
      <c r="A46" t="inlineStr">
        <is>
          <t>520009</t>
        </is>
      </c>
      <c r="B46" t="inlineStr">
        <is>
          <t>ASCENSION NE WISCONSIN - ST ELIZABETH CAMPUS</t>
        </is>
      </c>
      <c r="C46" t="inlineStr">
        <is>
          <t>APPLETON</t>
        </is>
      </c>
      <c r="D46" t="inlineStr">
        <is>
          <t>WI</t>
        </is>
      </c>
      <c r="E46" t="inlineStr">
        <is>
          <t>OUTAGAMIE</t>
        </is>
      </c>
      <c r="F46" t="inlineStr">
        <is>
          <t>Acute Care Hospitals</t>
        </is>
      </c>
      <c r="G46" t="inlineStr">
        <is>
          <t>Voluntary non-profit - Private</t>
        </is>
      </c>
      <c r="H46" s="24" t="n">
        <v>1057</v>
      </c>
      <c r="I46" s="24" t="n">
        <v>2139285</v>
      </c>
      <c r="J46" s="25" t="n">
        <v>0.0219</v>
      </c>
      <c r="K46" s="25" t="n">
        <v>0.08450000000000001</v>
      </c>
      <c r="L46" s="24" t="n">
        <v>9.9</v>
      </c>
      <c r="M46" s="24" t="n">
        <v>79.76775499999999</v>
      </c>
      <c r="N46" s="24" t="n">
        <v>82.89</v>
      </c>
      <c r="O46" t="inlineStr">
        <is>
          <t>hcris_nmrc_agency_per_hospital</t>
        </is>
      </c>
      <c r="P46" s="26" t="n">
        <v>0.92</v>
      </c>
    </row>
    <row r="47">
      <c r="A47" t="inlineStr">
        <is>
          <t>520051</t>
        </is>
      </c>
      <c r="B47" t="inlineStr">
        <is>
          <t>ASCENSION COLUMBIA ST MARYS HOSPITAL MILWAUKEE</t>
        </is>
      </c>
      <c r="C47" t="inlineStr">
        <is>
          <t>MILWAUKEE</t>
        </is>
      </c>
      <c r="D47" t="inlineStr">
        <is>
          <t>WI</t>
        </is>
      </c>
      <c r="E47" t="inlineStr">
        <is>
          <t>MILWAUKEE</t>
        </is>
      </c>
      <c r="F47" t="inlineStr">
        <is>
          <t>Acute Care Hospitals</t>
        </is>
      </c>
      <c r="G47" t="inlineStr">
        <is>
          <t>Voluntary non-profit - Church</t>
        </is>
      </c>
      <c r="H47" s="24" t="n">
        <v>1593</v>
      </c>
      <c r="I47" s="24" t="n">
        <v>35372220</v>
      </c>
      <c r="J47" s="25" t="n">
        <v>0.1917</v>
      </c>
      <c r="K47" s="25" t="n">
        <v>-0.0731</v>
      </c>
      <c r="L47" s="24" t="n">
        <v>210.6</v>
      </c>
      <c r="M47" s="24" t="n">
        <v>54.83655</v>
      </c>
      <c r="N47" s="24" t="n">
        <v>64.59999999999999</v>
      </c>
      <c r="O47" t="inlineStr">
        <is>
          <t>hcris_nmrc_agency_per_hospital</t>
        </is>
      </c>
      <c r="P47" s="26" t="n">
        <v>0.92</v>
      </c>
    </row>
    <row r="48">
      <c r="A48" t="inlineStr">
        <is>
          <t>520078</t>
        </is>
      </c>
      <c r="B48" t="inlineStr">
        <is>
          <t>ASCENSION ST FRANCIS HOSPITAL</t>
        </is>
      </c>
      <c r="C48" t="inlineStr">
        <is>
          <t>MILWAUKEE</t>
        </is>
      </c>
      <c r="D48" t="inlineStr">
        <is>
          <t>WI</t>
        </is>
      </c>
      <c r="E48" t="inlineStr">
        <is>
          <t>MILWAUKEE</t>
        </is>
      </c>
      <c r="F48" t="inlineStr">
        <is>
          <t>Acute Care Hospitals</t>
        </is>
      </c>
      <c r="G48" t="inlineStr">
        <is>
          <t>Voluntary non-profit - Private</t>
        </is>
      </c>
      <c r="H48" s="24" t="n">
        <v>466</v>
      </c>
      <c r="I48" s="24" t="n">
        <v>7721356</v>
      </c>
      <c r="J48" s="25" t="n">
        <v>0.2051</v>
      </c>
      <c r="K48" s="25" t="n">
        <v>-0.0906</v>
      </c>
      <c r="L48" s="24" t="n">
        <v>32.3</v>
      </c>
      <c r="M48" s="24" t="n">
        <v>58.34655000000001</v>
      </c>
      <c r="N48" s="24" t="n">
        <v>91.93000000000001</v>
      </c>
      <c r="O48" t="inlineStr">
        <is>
          <t>hcris_nmrc_agency_per_hospital</t>
        </is>
      </c>
      <c r="P48" s="26" t="n">
        <v>0.92</v>
      </c>
    </row>
    <row r="49">
      <c r="A49" t="inlineStr">
        <is>
          <t>520096</t>
        </is>
      </c>
      <c r="B49" t="inlineStr">
        <is>
          <t>ASCENSION ALL SAINTS HOSPITAL</t>
        </is>
      </c>
      <c r="C49" t="inlineStr">
        <is>
          <t>RACINE</t>
        </is>
      </c>
      <c r="D49" t="inlineStr">
        <is>
          <t>WI</t>
        </is>
      </c>
      <c r="E49" t="inlineStr">
        <is>
          <t>RACINE</t>
        </is>
      </c>
      <c r="F49" t="inlineStr">
        <is>
          <t>Acute Care Hospitals</t>
        </is>
      </c>
      <c r="G49" t="inlineStr">
        <is>
          <t>Voluntary non-profit - Church</t>
        </is>
      </c>
      <c r="H49" s="24" t="n">
        <v>1093</v>
      </c>
      <c r="I49" s="24" t="n">
        <v>11650466</v>
      </c>
      <c r="J49" s="25" t="n">
        <v>0.1292</v>
      </c>
      <c r="K49" s="25" t="n">
        <v>0.009599999999999999</v>
      </c>
      <c r="L49" s="24" t="n">
        <v>73.59999999999999</v>
      </c>
      <c r="M49" s="24" t="n">
        <v>64.24686</v>
      </c>
      <c r="N49" s="24" t="n">
        <v>64.24686</v>
      </c>
      <c r="O49" t="inlineStr">
        <is>
          <t>hcris_nmrc_agency_per_hospital</t>
        </is>
      </c>
      <c r="P49" s="26" t="n">
        <v>0.92</v>
      </c>
    </row>
    <row r="50">
      <c r="A50" t="inlineStr">
        <is>
          <t>520136</t>
        </is>
      </c>
      <c r="B50" t="inlineStr">
        <is>
          <t>ASCENSION SE WISCONSIN HOSPITAL</t>
        </is>
      </c>
      <c r="C50" t="inlineStr">
        <is>
          <t>MILWAUKEE</t>
        </is>
      </c>
      <c r="D50" t="inlineStr">
        <is>
          <t>WI</t>
        </is>
      </c>
      <c r="E50" t="inlineStr">
        <is>
          <t>MILWAUKEE</t>
        </is>
      </c>
      <c r="F50" t="inlineStr">
        <is>
          <t>Acute Care Hospitals</t>
        </is>
      </c>
      <c r="G50" t="inlineStr">
        <is>
          <t>Voluntary non-profit - Church</t>
        </is>
      </c>
      <c r="H50" s="24" t="n">
        <v>1510</v>
      </c>
      <c r="I50" s="24" t="n">
        <v>12725596</v>
      </c>
      <c r="J50" s="25" t="n">
        <v>0.1008</v>
      </c>
      <c r="K50" s="25" t="n">
        <v>0.0259</v>
      </c>
      <c r="L50" s="24" t="n">
        <v>77.5</v>
      </c>
      <c r="M50" s="24" t="n">
        <v>55.65655</v>
      </c>
      <c r="N50" s="24" t="n">
        <v>63.19</v>
      </c>
      <c r="O50" t="inlineStr">
        <is>
          <t>hcris_nmrc_agency_per_hospital</t>
        </is>
      </c>
      <c r="P50" s="26" t="n">
        <v>0.92</v>
      </c>
    </row>
    <row r="51">
      <c r="A51" t="inlineStr">
        <is>
          <t>520214</t>
        </is>
      </c>
      <c r="B51" t="inlineStr">
        <is>
          <t>ASCENSION WISCONSIN HOSP MENOMONEE FALLS CAMPUS</t>
        </is>
      </c>
      <c r="C51" t="inlineStr">
        <is>
          <t>MENOMONEE FALLS</t>
        </is>
      </c>
      <c r="D51" t="inlineStr">
        <is>
          <t>WI</t>
        </is>
      </c>
      <c r="E51" t="inlineStr">
        <is>
          <t>WAUKESHA</t>
        </is>
      </c>
      <c r="F51" t="inlineStr">
        <is>
          <t>Acute Care Hospitals</t>
        </is>
      </c>
      <c r="G51" t="inlineStr">
        <is>
          <t>Proprietary</t>
        </is>
      </c>
      <c r="H51" s="24" t="n">
        <v>86</v>
      </c>
      <c r="I51" s="24" t="n">
        <v>375442</v>
      </c>
      <c r="J51" s="25" t="n">
        <v>0.0444</v>
      </c>
      <c r="K51" s="25" t="n">
        <v>-0.3972</v>
      </c>
      <c r="L51" s="24" t="n">
        <v>1.4</v>
      </c>
      <c r="M51" s="24" t="n">
        <v>54.03655000000001</v>
      </c>
      <c r="N51" s="24" t="n">
        <v>105.66</v>
      </c>
      <c r="O51" t="inlineStr">
        <is>
          <t>hcris_nmrc_agency_per_hospital</t>
        </is>
      </c>
      <c r="P51" s="26" t="n">
        <v>0.92</v>
      </c>
    </row>
    <row r="52">
      <c r="A52" t="inlineStr">
        <is>
          <t>521317</t>
        </is>
      </c>
      <c r="B52" t="inlineStr">
        <is>
          <t>ASCENSION CALUMET HOSPITAL</t>
        </is>
      </c>
      <c r="C52" t="inlineStr">
        <is>
          <t>CHILTON</t>
        </is>
      </c>
      <c r="D52" t="inlineStr">
        <is>
          <t>WI</t>
        </is>
      </c>
      <c r="E52" t="inlineStr">
        <is>
          <t>CALUMET</t>
        </is>
      </c>
      <c r="F52" t="inlineStr">
        <is>
          <t>Critical Access Hospitals</t>
        </is>
      </c>
      <c r="G52" t="inlineStr">
        <is>
          <t>Voluntary non-profit - Private</t>
        </is>
      </c>
      <c r="H52" s="24" t="n">
        <v>84</v>
      </c>
      <c r="I52" t="inlineStr"/>
      <c r="J52" t="inlineStr"/>
      <c r="K52" s="25" t="n">
        <v>0.2482</v>
      </c>
      <c r="L52" s="24" t="n">
        <v>22.8</v>
      </c>
      <c r="M52" s="24" t="n">
        <v>57.40005</v>
      </c>
      <c r="N52" s="24" t="n">
        <v>97.59999999999999</v>
      </c>
      <c r="O52" t="inlineStr">
        <is>
          <t>hcris_derived_with_state_agency</t>
        </is>
      </c>
      <c r="P52" s="26" t="n">
        <v>0.85</v>
      </c>
    </row>
    <row r="53">
      <c r="A53" t="inlineStr">
        <is>
          <t>670041</t>
        </is>
      </c>
      <c r="B53" t="inlineStr">
        <is>
          <t>ASCENSION SETON WILLIAMSON</t>
        </is>
      </c>
      <c r="C53" t="inlineStr">
        <is>
          <t>ROUND ROCK</t>
        </is>
      </c>
      <c r="D53" t="inlineStr">
        <is>
          <t>TX</t>
        </is>
      </c>
      <c r="E53" t="inlineStr">
        <is>
          <t>WILLIAMSON</t>
        </is>
      </c>
      <c r="F53" t="inlineStr">
        <is>
          <t>Acute Care Hospitals</t>
        </is>
      </c>
      <c r="G53" t="inlineStr">
        <is>
          <t>Voluntary non-profit - Private</t>
        </is>
      </c>
      <c r="H53" s="24" t="n">
        <v>794</v>
      </c>
      <c r="I53" s="24" t="n">
        <v>1282108</v>
      </c>
      <c r="J53" s="25" t="n">
        <v>0.0164</v>
      </c>
      <c r="K53" s="25" t="n">
        <v>0.1883</v>
      </c>
      <c r="L53" s="24" t="n">
        <v>8.699999999999999</v>
      </c>
      <c r="M53" s="24" t="n">
        <v>58.19517500000001</v>
      </c>
      <c r="N53" s="24" t="n">
        <v>58.19517500000001</v>
      </c>
      <c r="O53" t="inlineStr">
        <is>
          <t>hcris_nmrc_agency_per_hospital</t>
        </is>
      </c>
      <c r="P53" s="26" t="n">
        <v>0.92</v>
      </c>
    </row>
    <row r="54">
      <c r="A54" t="inlineStr">
        <is>
          <t>670043</t>
        </is>
      </c>
      <c r="B54" t="inlineStr">
        <is>
          <t>ASCENSION SETON CEDAR PARK</t>
        </is>
      </c>
      <c r="C54" t="inlineStr">
        <is>
          <t>CEDAR PARK</t>
        </is>
      </c>
      <c r="D54" t="inlineStr">
        <is>
          <t>TX</t>
        </is>
      </c>
      <c r="E54" t="inlineStr">
        <is>
          <t>WILLIAMSON</t>
        </is>
      </c>
      <c r="F54" t="inlineStr">
        <is>
          <t>Acute Care Hospitals</t>
        </is>
      </c>
      <c r="G54" t="inlineStr">
        <is>
          <t>Voluntary non-profit - Other</t>
        </is>
      </c>
      <c r="H54" s="24" t="n">
        <v>625</v>
      </c>
      <c r="I54" s="24" t="n">
        <v>2288062</v>
      </c>
      <c r="J54" s="25" t="n">
        <v>0.038</v>
      </c>
      <c r="K54" s="25" t="n">
        <v>0.3444</v>
      </c>
      <c r="L54" s="24" t="n">
        <v>12.1</v>
      </c>
      <c r="M54" s="24" t="n">
        <v>56.245175</v>
      </c>
      <c r="N54" s="24" t="n">
        <v>72.73999999999999</v>
      </c>
      <c r="O54" t="inlineStr">
        <is>
          <t>hcris_nmrc_agency_per_hospital</t>
        </is>
      </c>
      <c r="P54" s="26" t="n">
        <v>0.92</v>
      </c>
    </row>
    <row r="55">
      <c r="A55" t="inlineStr">
        <is>
          <t>670056</t>
        </is>
      </c>
      <c r="B55" t="inlineStr">
        <is>
          <t>ASCENSION  SETON HAYS</t>
        </is>
      </c>
      <c r="C55" t="inlineStr">
        <is>
          <t>KYLE</t>
        </is>
      </c>
      <c r="D55" t="inlineStr">
        <is>
          <t>TX</t>
        </is>
      </c>
      <c r="E55" t="inlineStr">
        <is>
          <t>HAYS</t>
        </is>
      </c>
      <c r="F55" t="inlineStr">
        <is>
          <t>Acute Care Hospitals</t>
        </is>
      </c>
      <c r="G55" t="inlineStr">
        <is>
          <t>Voluntary non-profit - Private</t>
        </is>
      </c>
      <c r="H55" s="24" t="n">
        <v>783</v>
      </c>
      <c r="I55" s="24" t="n">
        <v>1038019</v>
      </c>
      <c r="J55" s="25" t="n">
        <v>0.0139</v>
      </c>
      <c r="K55" s="25" t="n">
        <v>0.2369</v>
      </c>
      <c r="L55" s="24" t="n">
        <v>5.9</v>
      </c>
      <c r="M55" s="24" t="n">
        <v>57.505175</v>
      </c>
      <c r="N55" s="24" t="n">
        <v>67.27</v>
      </c>
      <c r="O55" t="inlineStr">
        <is>
          <t>hcris_nmrc_agency_per_hospital</t>
        </is>
      </c>
      <c r="P55" s="26" t="n">
        <v>0.92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1" t="inlineStr">
        <is>
          <t>Sources, Methodology, and Compliance</t>
        </is>
      </c>
    </row>
    <row r="3" ht="36" customHeight="1">
      <c r="A3" s="27" t="inlineStr">
        <is>
          <t>Methodology</t>
        </is>
      </c>
      <c r="B3" s="28" t="inlineStr">
        <is>
          <t>Florence Workforce Restoration Economics v2.0 (May 28, 2026). Monthly Per-Nurse ROI Model with 50% FICA-Offset Target Pricing.</t>
        </is>
      </c>
    </row>
    <row r="5" ht="36" customHeight="1">
      <c r="A5" s="27" t="inlineStr">
        <is>
          <t>Required Compliance Statement</t>
        </is>
      </c>
      <c r="B5" s="28" t="inlineStr">
        <is>
          <t>Estimated employer-side FICA offset shown for eligible nurse cohorts only. Eligibility must be validated by payroll, tax counsel, and immigration counsel. Employee-side FICA benefit is shown separately as a nurse take-home benefit and is not included in employer ROI unless presented as combined economic value.</t>
        </is>
      </c>
    </row>
    <row r="7" ht="36" customHeight="1">
      <c r="A7" s="27" t="inlineStr">
        <is>
          <t>Hospital roster</t>
        </is>
      </c>
      <c r="B7" s="28" t="inlineStr">
        <is>
          <t>CMS Hospital General Information (data.cms.gov, refreshed quarterly).</t>
        </is>
      </c>
    </row>
    <row r="9" ht="36" customHeight="1">
      <c r="A9" s="27" t="inlineStr">
        <is>
          <t>Hospital labor data</t>
        </is>
      </c>
      <c r="B9" s="28" t="inlineStr">
        <is>
          <t>CMS HCRIS Hospital Provider Cost Report 2023 — per-hospital FTE, total salaries, wage-related costs, contract labor.</t>
        </is>
      </c>
    </row>
    <row r="11" ht="36" customHeight="1">
      <c r="A11" s="27" t="inlineStr">
        <is>
          <t>RN wage benchmarks</t>
        </is>
      </c>
      <c r="B11" s="28" t="inlineStr">
        <is>
          <t>BLS OEWS state-level placeholder (v0.5). Production: BLS OEWS API by MSA + occupation 29-1141.</t>
        </is>
      </c>
    </row>
    <row r="13" ht="36" customHeight="1">
      <c r="A13" s="27" t="inlineStr">
        <is>
          <t>Agency rate benchmarks</t>
        </is>
      </c>
      <c r="B13" s="28" t="inlineStr">
        <is>
          <t>Hybrid: CommonSpirit internal anchors for matched hospitals, state-median imputation for the remainder.</t>
        </is>
      </c>
    </row>
    <row r="15" ht="36" customHeight="1">
      <c r="A15" s="27" t="inlineStr">
        <is>
          <t>FICA exemption — primary source</t>
        </is>
      </c>
      <c r="B15" s="28" t="inlineStr">
        <is>
          <t>IRS — Foreign Student Liability for Social Security and Medicare Taxes: https://www.irs.gov/individuals/international-taxpayers/foreign-student-liability-for-social-security-and-medicare-taxes</t>
        </is>
      </c>
    </row>
    <row r="17" ht="36" customHeight="1">
      <c r="A17" s="27" t="inlineStr">
        <is>
          <t>FICA exemption — statutory</t>
        </is>
      </c>
      <c r="B17" s="28" t="inlineStr">
        <is>
          <t>IRC §3121(b)(19); IRS Publication 519; IRS Publication 15 (Circular E).</t>
        </is>
      </c>
    </row>
    <row r="19" ht="36" customHeight="1">
      <c r="A19" s="27" t="inlineStr">
        <is>
          <t>Confidence tiers</t>
        </is>
      </c>
      <c r="B19" s="28" t="inlineStr">
        <is>
          <t>1.00 customer-disclosed · 0.85 HCRIS-derived · 0.60 state-imputed (CS anchor) · 0.40 national-imputed · &lt;0.50 triggers STANDARD_FEE fallback.</t>
        </is>
      </c>
    </row>
    <row r="21" ht="36" customHeight="1">
      <c r="A21" s="27" t="inlineStr">
        <is>
          <t>Manual review</t>
        </is>
      </c>
      <c r="B21" s="28" t="inlineStr">
        <is>
          <t>Only fires for genuinely-negative agency premium. Low-confidence agency-rate rows are priced at standard fee with caveat pending customer disclosure.</t>
        </is>
      </c>
    </row>
    <row r="23" ht="36" customHeight="1">
      <c r="A23" s="27" t="inlineStr">
        <is>
          <t>Caveats</t>
        </is>
      </c>
      <c r="B23" s="28" t="inlineStr">
        <is>
          <t>Not legal, tax, immigration, accounting, or payroll advice. All tax and immigration assumptions should be confirmed by the customer and its advisors before use as contractual commitments.</t>
        </is>
      </c>
    </row>
  </sheetData>
  <mergeCells count="12">
    <mergeCell ref="B19"/>
    <mergeCell ref="B17"/>
    <mergeCell ref="B9"/>
    <mergeCell ref="B13"/>
    <mergeCell ref="B21"/>
    <mergeCell ref="B15"/>
    <mergeCell ref="B7"/>
    <mergeCell ref="B11"/>
    <mergeCell ref="A1:B1"/>
    <mergeCell ref="B3"/>
    <mergeCell ref="B5"/>
    <mergeCell ref="B23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</cols>
  <sheetData>
    <row r="1">
      <c r="A1" s="1" t="inlineStr">
        <is>
          <t>Run Log (audit trail)</t>
        </is>
      </c>
    </row>
    <row r="3">
      <c r="A3" s="6" t="inlineStr">
        <is>
          <t>Target</t>
        </is>
      </c>
      <c r="B3" s="29" t="inlineStr">
        <is>
          <t>Ascension</t>
        </is>
      </c>
    </row>
    <row r="4">
      <c r="A4" s="6" t="inlineStr">
        <is>
          <t>Scope</t>
        </is>
      </c>
      <c r="B4" s="29" t="inlineStr">
        <is>
          <t>54 hospitals in 8 states (FL, IN, KS, MI, OK...)</t>
        </is>
      </c>
    </row>
    <row r="5">
      <c r="A5" s="6" t="inlineStr">
        <is>
          <t>Generated at</t>
        </is>
      </c>
      <c r="B5" s="29" t="inlineStr">
        <is>
          <t>2026-05-28T11:02:17</t>
        </is>
      </c>
    </row>
    <row r="6">
      <c r="A6" s="6" t="inlineStr">
        <is>
          <t>Engine version</t>
        </is>
      </c>
      <c r="B6" s="29" t="inlineStr">
        <is>
          <t>v0.5-methodology-v2-2026-05</t>
        </is>
      </c>
    </row>
    <row r="7">
      <c r="A7" s="6" t="inlineStr">
        <is>
          <t>Pricing mode</t>
        </is>
      </c>
      <c r="B7" s="29" t="inlineStr">
        <is>
          <t>fica_offset_target</t>
        </is>
      </c>
    </row>
    <row r="8">
      <c r="A8" s="6" t="inlineStr">
        <is>
          <t>Cohort η</t>
        </is>
      </c>
      <c r="B8" s="29" t="inlineStr">
        <is>
          <t>1.0</t>
        </is>
      </c>
    </row>
    <row r="9">
      <c r="A9" s="6" t="inlineStr">
        <is>
          <t>FICA eligible months</t>
        </is>
      </c>
      <c r="B9" s="29" t="inlineStr">
        <is>
          <t>24</t>
        </is>
      </c>
    </row>
    <row r="10">
      <c r="A10" s="6" t="inlineStr">
        <is>
          <t>Term months</t>
        </is>
      </c>
      <c r="B10" s="29" t="inlineStr">
        <is>
          <t>24</t>
        </is>
      </c>
    </row>
    <row r="11">
      <c r="A11" s="6" t="inlineStr">
        <is>
          <t>Target offset %</t>
        </is>
      </c>
      <c r="B11" s="29" t="inlineStr">
        <is>
          <t>50%</t>
        </is>
      </c>
    </row>
    <row r="12">
      <c r="A12" s="6" t="inlineStr">
        <is>
          <t>Floor / Ceiling</t>
        </is>
      </c>
      <c r="B12" s="29" t="inlineStr">
        <is>
          <t>$750 – $2,000</t>
        </is>
      </c>
    </row>
    <row r="13">
      <c r="A13" s="6" t="inlineStr">
        <is>
          <t>Standard fee</t>
        </is>
      </c>
      <c r="B13" s="29" t="inlineStr">
        <is>
          <t>$1,750</t>
        </is>
      </c>
    </row>
    <row r="14">
      <c r="A14" s="6" t="inlineStr">
        <is>
          <t>Low-confidence fallback to standard</t>
        </is>
      </c>
      <c r="B14" s="29" t="inlineStr">
        <is>
          <t>True</t>
        </is>
      </c>
    </row>
    <row r="15">
      <c r="A15" s="6" t="inlineStr">
        <is>
          <t>Immigration add-on enabled</t>
        </is>
      </c>
      <c r="B15" s="29" t="inlineStr">
        <is>
          <t>False</t>
        </is>
      </c>
    </row>
    <row r="16">
      <c r="A16" s="6" t="inlineStr">
        <is>
          <t>Direct partner share</t>
        </is>
      </c>
      <c r="B16" s="29" t="inlineStr">
        <is>
          <t>0%</t>
        </is>
      </c>
    </row>
    <row r="17">
      <c r="A17" s="6" t="inlineStr">
        <is>
          <t>AMN partner share</t>
        </is>
      </c>
      <c r="B17" s="29" t="inlineStr">
        <is>
          <t>20%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2026-05-28T18:02:17Z</dcterms:created>
  <dcterms:modified xsi:type="dcterms:W3CDTF">2026-05-28T18:02:17Z</dcterms:modified>
</cp:coreProperties>
</file>