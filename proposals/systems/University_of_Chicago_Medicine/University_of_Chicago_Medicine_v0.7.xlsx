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University of Chicago Medicine</t>
        </is>
      </c>
    </row>
    <row r="2">
      <c r="A2" s="2" t="inlineStr">
        <is>
          <t>Scope: 1 hospitals in 1 states (IL)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1085.994</v>
      </c>
    </row>
    <row r="6">
      <c r="A6" s="6" t="inlineStr">
        <is>
          <t>②  Employer FICA Savings / RN/mo</t>
        </is>
      </c>
      <c r="B6" s="7" t="n">
        <v>542.997</v>
      </c>
    </row>
    <row r="7">
      <c r="A7" s="6" t="inlineStr">
        <is>
          <t>③  FICA-Adjusted Effective Cost / RN/mo</t>
        </is>
      </c>
      <c r="B7" s="7" t="n">
        <v>542.997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3629.885999999999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2596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1085.994</v>
      </c>
    </row>
    <row r="26">
      <c r="A26" s="6" t="inlineStr">
        <is>
          <t>− Employer FICA Offset</t>
        </is>
      </c>
      <c r="B26" s="12" t="n">
        <v>-542.997</v>
      </c>
    </row>
    <row r="27">
      <c r="A27" s="6">
        <f> FICA-Adjusted Effective Cost</f>
        <v/>
      </c>
      <c r="B27" s="12" t="n">
        <v>542.997</v>
      </c>
    </row>
    <row r="28">
      <c r="A28" s="6" t="inlineStr">
        <is>
          <t>+ Agency Premium Avoided</t>
        </is>
      </c>
      <c r="B28" s="12" t="n">
        <v>4172.882999999998</v>
      </c>
    </row>
    <row r="29">
      <c r="A29" s="6">
        <f> Net Monthly Savings per RN</f>
        <v/>
      </c>
      <c r="B29" s="13" t="n">
        <v>3629.885999999999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2819566.2222</v>
      </c>
    </row>
    <row r="34">
      <c r="A34" s="6" t="inlineStr">
        <is>
          <t>Total monthly FICA offset to hospitals</t>
        </is>
      </c>
      <c r="B34" s="14" t="n">
        <v>1409783.1111</v>
      </c>
    </row>
    <row r="35">
      <c r="A35" s="6" t="inlineStr">
        <is>
          <t>Total monthly FICA-adjusted effective cost</t>
        </is>
      </c>
      <c r="B35" s="14" t="n">
        <v>1409783.1111</v>
      </c>
    </row>
    <row r="36">
      <c r="A36" s="6" t="inlineStr">
        <is>
          <t>Total monthly agency premium avoided</t>
        </is>
      </c>
      <c r="B36" s="14" t="n">
        <v>10834056.1329</v>
      </c>
    </row>
    <row r="37">
      <c r="A37" s="6" t="inlineStr">
        <is>
          <t>Total monthly net hospital savings</t>
        </is>
      </c>
      <c r="B37" s="14" t="n">
        <v>9424273.021799996</v>
      </c>
    </row>
    <row r="38">
      <c r="A38" s="6" t="inlineStr">
        <is>
          <t>Term (24mo) Florence fee</t>
        </is>
      </c>
      <c r="B38" s="14" t="n">
        <v>67669589.3328</v>
      </c>
    </row>
    <row r="39">
      <c r="A39" s="6" t="inlineStr">
        <is>
          <t>Term (24mo) Hospital net savings</t>
        </is>
      </c>
      <c r="B39" s="14" t="n">
        <v>226182552.5231999</v>
      </c>
    </row>
    <row r="40">
      <c r="A40" s="6" t="inlineStr">
        <is>
          <t>Savings : Fee ratio</t>
        </is>
      </c>
      <c r="B40" s="15" t="n">
        <v>3.342454930690224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110374.524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110374.524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6843.220488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1600.430598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8443.651086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703.6375905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140088</t>
        </is>
      </c>
      <c r="B2" t="inlineStr">
        <is>
          <t>THE UNIVERSITY OF CHICAGO MEDICAL CENTER</t>
        </is>
      </c>
      <c r="C2" t="inlineStr">
        <is>
          <t>CHICAGO</t>
        </is>
      </c>
      <c r="D2" t="inlineStr">
        <is>
          <t>IL</t>
        </is>
      </c>
      <c r="E2" t="inlineStr">
        <is>
          <t>University of Chicago Medicine</t>
        </is>
      </c>
      <c r="F2" s="22" t="n">
        <v>2596.3</v>
      </c>
      <c r="G2" s="23" t="n">
        <v>58.96075</v>
      </c>
      <c r="H2" s="23" t="n">
        <v>85.70999999999999</v>
      </c>
      <c r="I2" s="23" t="n">
        <v>26.74924999999999</v>
      </c>
      <c r="J2" s="24" t="n">
        <v>1085.994</v>
      </c>
      <c r="K2" s="24" t="n">
        <v>542.997</v>
      </c>
      <c r="L2" s="24" t="n">
        <v>542.997</v>
      </c>
      <c r="M2" s="25" t="n">
        <v>0.5</v>
      </c>
      <c r="N2" s="24" t="n">
        <v>4172.882999999998</v>
      </c>
      <c r="O2" s="24" t="n">
        <v>3629.885999999999</v>
      </c>
      <c r="P2" s="24" t="n">
        <v>2819566.2222</v>
      </c>
      <c r="Q2" s="24" t="n">
        <v>1409783.1111</v>
      </c>
      <c r="R2" s="24" t="n">
        <v>9424273.021799996</v>
      </c>
      <c r="S2" s="24" t="n">
        <v>67669589.3328</v>
      </c>
      <c r="T2" s="24" t="n">
        <v>226182552.5231999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904.995</v>
      </c>
      <c r="D4" s="24" t="n">
        <v>1809.99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1357.4925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1085.994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904.995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IL</t>
        </is>
      </c>
      <c r="B4" t="n">
        <v>1</v>
      </c>
      <c r="C4" s="23" t="n">
        <v>58.96075</v>
      </c>
      <c r="D4" s="23" t="n">
        <v>85.70999999999999</v>
      </c>
      <c r="E4" s="23" t="n">
        <v>26.74924999999999</v>
      </c>
      <c r="F4" s="24" t="n">
        <v>1085.994</v>
      </c>
      <c r="G4" s="24" t="n">
        <v>542.997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140088</t>
        </is>
      </c>
      <c r="B2" t="inlineStr">
        <is>
          <t>THE UNIVERSITY OF CHICAGO MEDICAL CENTER</t>
        </is>
      </c>
      <c r="C2" t="inlineStr">
        <is>
          <t>CHICAGO</t>
        </is>
      </c>
      <c r="D2" t="inlineStr">
        <is>
          <t>IL</t>
        </is>
      </c>
      <c r="E2" t="inlineStr">
        <is>
          <t>COOK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9616</v>
      </c>
      <c r="I2" t="inlineStr"/>
      <c r="J2" t="inlineStr"/>
      <c r="K2" s="25" t="n">
        <v>0.204</v>
      </c>
      <c r="L2" s="24" t="n">
        <v>2596.3</v>
      </c>
      <c r="M2" s="24" t="n">
        <v>58.96075</v>
      </c>
      <c r="N2" s="24" t="n">
        <v>85.70999999999999</v>
      </c>
      <c r="O2" t="inlineStr">
        <is>
          <t>hcris_nmrc_agency_per_hospital</t>
        </is>
      </c>
      <c r="P2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University of Chicago Medicine</t>
        </is>
      </c>
    </row>
    <row r="4">
      <c r="A4" s="6" t="inlineStr">
        <is>
          <t>Scope</t>
        </is>
      </c>
      <c r="B4" s="29" t="inlineStr">
        <is>
          <t>1 hospitals in 1 states (IL)</t>
        </is>
      </c>
    </row>
    <row r="5">
      <c r="A5" s="6" t="inlineStr">
        <is>
          <t>Generated at</t>
        </is>
      </c>
      <c r="B5" s="29" t="inlineStr">
        <is>
          <t>2026-05-28T11:55:35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2026-05-28T18:55:35Z</dcterms:created>
  <dcterms:modified xsi:type="dcterms:W3CDTF">2026-05-28T18:55:35Z</dcterms:modified>
</cp:coreProperties>
</file>