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Sutter Health</t>
        </is>
      </c>
    </row>
    <row r="2">
      <c r="A2" s="2" t="inlineStr">
        <is>
          <t>Scope: 14 hospitals in 1 states (CA)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1655.2458</v>
      </c>
    </row>
    <row r="6">
      <c r="A6" s="6" t="inlineStr">
        <is>
          <t>②  Employer FICA Savings / RN/mo</t>
        </is>
      </c>
      <c r="B6" s="7" t="n">
        <v>827.6229000000001</v>
      </c>
    </row>
    <row r="7">
      <c r="A7" s="6" t="inlineStr">
        <is>
          <t>③  FICA-Adjusted Effective Cost / RN/mo</t>
        </is>
      </c>
      <c r="B7" s="7" t="n">
        <v>827.6229000000001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7174.580399999995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14</v>
      </c>
    </row>
    <row r="15">
      <c r="A15" s="6" t="inlineStr">
        <is>
          <t>Hospitals quotable</t>
        </is>
      </c>
      <c r="B15" s="11" t="n">
        <v>14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2750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1655.2458</v>
      </c>
    </row>
    <row r="26">
      <c r="A26" s="6" t="inlineStr">
        <is>
          <t>− Employer FICA Offset</t>
        </is>
      </c>
      <c r="B26" s="12" t="n">
        <v>-827.6229000000001</v>
      </c>
    </row>
    <row r="27">
      <c r="A27" s="6">
        <f> FICA-Adjusted Effective Cost</f>
        <v/>
      </c>
      <c r="B27" s="12" t="n">
        <v>827.6229000000001</v>
      </c>
    </row>
    <row r="28">
      <c r="A28" s="6" t="inlineStr">
        <is>
          <t>+ Agency Premium Avoided</t>
        </is>
      </c>
      <c r="B28" s="12" t="n">
        <v>7506.19198910102</v>
      </c>
    </row>
    <row r="29">
      <c r="A29" s="6">
        <f> Net Monthly Savings per RN</f>
        <v/>
      </c>
      <c r="B29" s="13" t="n">
        <v>7174.580399999995</v>
      </c>
    </row>
    <row r="32">
      <c r="A32" s="3" t="inlineStr">
        <is>
          <t>PORTFOLIO TOTALS (14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4718418.49674</v>
      </c>
    </row>
    <row r="34">
      <c r="A34" s="6" t="inlineStr">
        <is>
          <t>Total monthly FICA offset to hospitals</t>
        </is>
      </c>
      <c r="B34" s="14" t="n">
        <v>2359209.24837</v>
      </c>
    </row>
    <row r="35">
      <c r="A35" s="6" t="inlineStr">
        <is>
          <t>Total monthly FICA-adjusted effective cost</t>
        </is>
      </c>
      <c r="B35" s="14" t="n">
        <v>2359209.24837</v>
      </c>
    </row>
    <row r="36">
      <c r="A36" s="6" t="inlineStr">
        <is>
          <t>Total monthly agency premium avoided</t>
        </is>
      </c>
      <c r="B36" s="14" t="n">
        <v>20640526.73162999</v>
      </c>
    </row>
    <row r="37">
      <c r="A37" s="6" t="inlineStr">
        <is>
          <t>Total monthly net hospital savings</t>
        </is>
      </c>
      <c r="B37" s="14" t="n">
        <v>18281317.48325999</v>
      </c>
    </row>
    <row r="38">
      <c r="A38" s="6" t="inlineStr">
        <is>
          <t>Term (24mo) Florence fee</t>
        </is>
      </c>
      <c r="B38" s="14" t="n">
        <v>113242043.92176</v>
      </c>
    </row>
    <row r="39">
      <c r="A39" s="6" t="inlineStr">
        <is>
          <t>Term (24mo) Hospital net savings</t>
        </is>
      </c>
      <c r="B39" s="14" t="n">
        <v>438751619.5982398</v>
      </c>
    </row>
    <row r="40">
      <c r="A40" s="6" t="inlineStr">
        <is>
          <t>Savings : Fee ratio</t>
        </is>
      </c>
      <c r="B40" s="15" t="n">
        <v>3.874458676332066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171413.5176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171413.5176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10627.6380912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2485.496005200001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13113.1340964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1092.7611747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050014</t>
        </is>
      </c>
      <c r="B2" t="inlineStr">
        <is>
          <t>SUTTER AMADOR HOSPITAL</t>
        </is>
      </c>
      <c r="C2" t="inlineStr">
        <is>
          <t>JACKSON</t>
        </is>
      </c>
      <c r="D2" t="inlineStr">
        <is>
          <t>CA</t>
        </is>
      </c>
      <c r="E2" t="inlineStr">
        <is>
          <t>Sutter Health</t>
        </is>
      </c>
      <c r="F2" s="22" t="n">
        <v>82.90000000000001</v>
      </c>
      <c r="G2" s="23" t="n">
        <v>84.905175</v>
      </c>
      <c r="H2" s="23" t="n">
        <v>142.89</v>
      </c>
      <c r="I2" s="23" t="n">
        <v>57.98482499999999</v>
      </c>
      <c r="J2" s="24" t="n">
        <v>1574.0946</v>
      </c>
      <c r="K2" s="24" t="n">
        <v>787.0473000000001</v>
      </c>
      <c r="L2" s="24" t="n">
        <v>787.0473000000001</v>
      </c>
      <c r="M2" s="25" t="n">
        <v>0.5</v>
      </c>
      <c r="N2" s="24" t="n">
        <v>9045.632699999998</v>
      </c>
      <c r="O2" s="24" t="n">
        <v>8258.585399999998</v>
      </c>
      <c r="P2" s="24" t="n">
        <v>130492.44234</v>
      </c>
      <c r="Q2" s="24" t="n">
        <v>65246.22117000001</v>
      </c>
      <c r="R2" s="24" t="n">
        <v>684636.7296599998</v>
      </c>
      <c r="S2" s="24" t="n">
        <v>3131818.61616</v>
      </c>
      <c r="T2" s="24" t="n">
        <v>16431281.51184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  <row r="3">
      <c r="A3" t="inlineStr">
        <is>
          <t>050101</t>
        </is>
      </c>
      <c r="B3" t="inlineStr">
        <is>
          <t>SUTTER SOLANO MEDICAL CENTER</t>
        </is>
      </c>
      <c r="C3" t="inlineStr">
        <is>
          <t>VALLEJO</t>
        </is>
      </c>
      <c r="D3" t="inlineStr">
        <is>
          <t>CA</t>
        </is>
      </c>
      <c r="E3" t="inlineStr">
        <is>
          <t>Sutter Health</t>
        </is>
      </c>
      <c r="F3" s="22" t="n">
        <v>123</v>
      </c>
      <c r="G3" s="23" t="n">
        <v>83.675175</v>
      </c>
      <c r="H3" s="23" t="n">
        <v>142.89</v>
      </c>
      <c r="I3" s="23" t="n">
        <v>59.21482499999999</v>
      </c>
      <c r="J3" s="24" t="n">
        <v>1574.0946</v>
      </c>
      <c r="K3" s="24" t="n">
        <v>787.0473000000001</v>
      </c>
      <c r="L3" s="24" t="n">
        <v>787.0473000000001</v>
      </c>
      <c r="M3" s="25" t="n">
        <v>0.5</v>
      </c>
      <c r="N3" s="24" t="n">
        <v>9237.512699999999</v>
      </c>
      <c r="O3" s="24" t="n">
        <v>8450.465399999999</v>
      </c>
      <c r="P3" s="24" t="n">
        <v>193613.6358</v>
      </c>
      <c r="Q3" s="24" t="n">
        <v>96806.81790000001</v>
      </c>
      <c r="R3" s="24" t="n">
        <v>1039407.2442</v>
      </c>
      <c r="S3" s="24" t="n">
        <v>4646727.2592</v>
      </c>
      <c r="T3" s="24" t="n">
        <v>24945773.86079999</v>
      </c>
      <c r="U3" t="inlineStr">
        <is>
          <t>target</t>
        </is>
      </c>
      <c r="V3" s="22" t="n">
        <v>0.85</v>
      </c>
      <c r="W3" t="inlineStr">
        <is>
          <t>hcris_derived_with_state_agency</t>
        </is>
      </c>
      <c r="X3" t="b">
        <v>0</v>
      </c>
    </row>
    <row r="4">
      <c r="A4" t="inlineStr">
        <is>
          <t>050108</t>
        </is>
      </c>
      <c r="B4" t="inlineStr">
        <is>
          <t>SUTTER MEDICAL CENTER, SACRAMENTO</t>
        </is>
      </c>
      <c r="C4" t="inlineStr">
        <is>
          <t>SACRAMENTO</t>
        </is>
      </c>
      <c r="D4" t="inlineStr">
        <is>
          <t>CA</t>
        </is>
      </c>
      <c r="E4" t="inlineStr">
        <is>
          <t>Sutter Health</t>
        </is>
      </c>
      <c r="F4" s="22" t="n">
        <v>900.9</v>
      </c>
      <c r="G4" s="23" t="n">
        <v>97.588925</v>
      </c>
      <c r="H4" s="23" t="n">
        <v>142.89</v>
      </c>
      <c r="I4" s="23" t="n">
        <v>45.30107499999998</v>
      </c>
      <c r="J4" s="24" t="n">
        <v>1753.1046</v>
      </c>
      <c r="K4" s="24" t="n">
        <v>876.5522999999999</v>
      </c>
      <c r="L4" s="24" t="n">
        <v>876.5522999999999</v>
      </c>
      <c r="M4" s="25" t="n">
        <v>0.5</v>
      </c>
      <c r="N4" s="24" t="n">
        <v>7066.967699999997</v>
      </c>
      <c r="O4" s="24" t="n">
        <v>6190.415399999998</v>
      </c>
      <c r="P4" s="24" t="n">
        <v>1579371.93414</v>
      </c>
      <c r="Q4" s="24" t="n">
        <v>789685.9670699999</v>
      </c>
      <c r="R4" s="24" t="n">
        <v>5576945.233859998</v>
      </c>
      <c r="S4" s="24" t="n">
        <v>37904926.41936</v>
      </c>
      <c r="T4" s="24" t="n">
        <v>133846685.6126399</v>
      </c>
      <c r="U4" t="inlineStr">
        <is>
          <t>target</t>
        </is>
      </c>
      <c r="V4" s="22" t="n">
        <v>0.85</v>
      </c>
      <c r="W4" t="inlineStr">
        <is>
          <t>hcris_derived_with_state_agency</t>
        </is>
      </c>
      <c r="X4" t="b">
        <v>0</v>
      </c>
    </row>
    <row r="5">
      <c r="A5" t="inlineStr">
        <is>
          <t>050291</t>
        </is>
      </c>
      <c r="B5" t="inlineStr">
        <is>
          <t>SUTTER SANTA ROSA REGIONAL HOSPITAL</t>
        </is>
      </c>
      <c r="C5" t="inlineStr">
        <is>
          <t>SANTA ROSA</t>
        </is>
      </c>
      <c r="D5" t="inlineStr">
        <is>
          <t>CA</t>
        </is>
      </c>
      <c r="E5" t="inlineStr">
        <is>
          <t>Sutter Health</t>
        </is>
      </c>
      <c r="F5" s="22" t="n">
        <v>207.3</v>
      </c>
      <c r="G5" s="23" t="n">
        <v>85.625175</v>
      </c>
      <c r="H5" s="23" t="n">
        <v>142.89</v>
      </c>
      <c r="I5" s="23" t="n">
        <v>57.26482499999999</v>
      </c>
      <c r="J5" s="24" t="n">
        <v>1574.0946</v>
      </c>
      <c r="K5" s="24" t="n">
        <v>787.0473000000001</v>
      </c>
      <c r="L5" s="24" t="n">
        <v>787.0473000000001</v>
      </c>
      <c r="M5" s="25" t="n">
        <v>0.5</v>
      </c>
      <c r="N5" s="24" t="n">
        <v>8933.312699999999</v>
      </c>
      <c r="O5" s="24" t="n">
        <v>8146.265399999998</v>
      </c>
      <c r="P5" s="24" t="n">
        <v>326309.81058</v>
      </c>
      <c r="Q5" s="24" t="n">
        <v>163154.90529</v>
      </c>
      <c r="R5" s="24" t="n">
        <v>1688720.81742</v>
      </c>
      <c r="S5" s="24" t="n">
        <v>7831435.45392</v>
      </c>
      <c r="T5" s="24" t="n">
        <v>40529299.61808</v>
      </c>
      <c r="U5" t="inlineStr">
        <is>
          <t>target</t>
        </is>
      </c>
      <c r="V5" s="22" t="n">
        <v>0.85</v>
      </c>
      <c r="W5" t="inlineStr">
        <is>
          <t>hcris_derived_with_state_agency</t>
        </is>
      </c>
      <c r="X5" t="b">
        <v>0</v>
      </c>
    </row>
    <row r="6">
      <c r="A6" t="inlineStr">
        <is>
          <t>050309</t>
        </is>
      </c>
      <c r="B6" t="inlineStr">
        <is>
          <t>SUTTER ROSEVILLE MEDICAL CENTER</t>
        </is>
      </c>
      <c r="C6" t="inlineStr">
        <is>
          <t>ROSEVILLE</t>
        </is>
      </c>
      <c r="D6" t="inlineStr">
        <is>
          <t>CA</t>
        </is>
      </c>
      <c r="E6" t="inlineStr">
        <is>
          <t>Sutter Health</t>
        </is>
      </c>
      <c r="F6" s="22" t="n">
        <v>710.8</v>
      </c>
      <c r="G6" s="23" t="n">
        <v>96.76892500000001</v>
      </c>
      <c r="H6" s="23" t="n">
        <v>142.89</v>
      </c>
      <c r="I6" s="23" t="n">
        <v>46.12107499999998</v>
      </c>
      <c r="J6" s="24" t="n">
        <v>1753.1046</v>
      </c>
      <c r="K6" s="24" t="n">
        <v>876.5522999999999</v>
      </c>
      <c r="L6" s="24" t="n">
        <v>876.5522999999999</v>
      </c>
      <c r="M6" s="25" t="n">
        <v>0.5</v>
      </c>
      <c r="N6" s="24" t="n">
        <v>7194.887699999997</v>
      </c>
      <c r="O6" s="24" t="n">
        <v>6318.335399999997</v>
      </c>
      <c r="P6" s="24" t="n">
        <v>1246106.74968</v>
      </c>
      <c r="Q6" s="24" t="n">
        <v>623053.3748399999</v>
      </c>
      <c r="R6" s="24" t="n">
        <v>4491072.802319998</v>
      </c>
      <c r="S6" s="24" t="n">
        <v>29906561.99232</v>
      </c>
      <c r="T6" s="24" t="n">
        <v>107785747.25568</v>
      </c>
      <c r="U6" t="inlineStr">
        <is>
          <t>target</t>
        </is>
      </c>
      <c r="V6" s="22" t="n">
        <v>0.85</v>
      </c>
      <c r="W6" t="inlineStr">
        <is>
          <t>hcris_derived_with_state_agency</t>
        </is>
      </c>
      <c r="X6" t="b">
        <v>0</v>
      </c>
    </row>
    <row r="7">
      <c r="A7" t="inlineStr">
        <is>
          <t>050313</t>
        </is>
      </c>
      <c r="B7" t="inlineStr">
        <is>
          <t>SUTTER TRACY COMMUNITY HOSPITAL</t>
        </is>
      </c>
      <c r="C7" t="inlineStr">
        <is>
          <t>TRACY</t>
        </is>
      </c>
      <c r="D7" t="inlineStr">
        <is>
          <t>CA</t>
        </is>
      </c>
      <c r="E7" t="inlineStr">
        <is>
          <t>Sutter Health</t>
        </is>
      </c>
      <c r="F7" s="22" t="n">
        <v>110.7</v>
      </c>
      <c r="G7" s="23" t="n">
        <v>88.72369999999999</v>
      </c>
      <c r="H7" s="23" t="n">
        <v>142.89</v>
      </c>
      <c r="I7" s="23" t="n">
        <v>54.16629999999999</v>
      </c>
      <c r="J7" s="24" t="n">
        <v>1570.5144</v>
      </c>
      <c r="K7" s="24" t="n">
        <v>785.2571999999999</v>
      </c>
      <c r="L7" s="24" t="n">
        <v>785.2571999999999</v>
      </c>
      <c r="M7" s="25" t="n">
        <v>0.5</v>
      </c>
      <c r="N7" s="24" t="n">
        <v>8449.942799999999</v>
      </c>
      <c r="O7" s="24" t="n">
        <v>7664.685599999999</v>
      </c>
      <c r="P7" s="24" t="n">
        <v>173855.94408</v>
      </c>
      <c r="Q7" s="24" t="n">
        <v>86927.97203999999</v>
      </c>
      <c r="R7" s="24" t="n">
        <v>848480.6959199999</v>
      </c>
      <c r="S7" s="24" t="n">
        <v>4172542.657919999</v>
      </c>
      <c r="T7" s="24" t="n">
        <v>20363536.70208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050417</t>
        </is>
      </c>
      <c r="B8" t="inlineStr">
        <is>
          <t>SUTTER COAST HOSPITAL</t>
        </is>
      </c>
      <c r="C8" t="inlineStr">
        <is>
          <t>CRESCENT CITY</t>
        </is>
      </c>
      <c r="D8" t="inlineStr">
        <is>
          <t>CA</t>
        </is>
      </c>
      <c r="E8" t="inlineStr">
        <is>
          <t>Sutter Health</t>
        </is>
      </c>
      <c r="F8" s="22" t="n">
        <v>71.3</v>
      </c>
      <c r="G8" s="23" t="n">
        <v>84.635175</v>
      </c>
      <c r="H8" s="23" t="n">
        <v>142.89</v>
      </c>
      <c r="I8" s="23" t="n">
        <v>58.25482499999998</v>
      </c>
      <c r="J8" s="24" t="n">
        <v>1574.0946</v>
      </c>
      <c r="K8" s="24" t="n">
        <v>787.0473000000001</v>
      </c>
      <c r="L8" s="24" t="n">
        <v>787.0473000000001</v>
      </c>
      <c r="M8" s="25" t="n">
        <v>0.5</v>
      </c>
      <c r="N8" s="24" t="n">
        <v>9087.752699999997</v>
      </c>
      <c r="O8" s="24" t="n">
        <v>8300.705399999997</v>
      </c>
      <c r="P8" s="24" t="n">
        <v>112232.94498</v>
      </c>
      <c r="Q8" s="24" t="n">
        <v>56116.47249</v>
      </c>
      <c r="R8" s="24" t="n">
        <v>591840.2950199997</v>
      </c>
      <c r="S8" s="24" t="n">
        <v>2693590.67952</v>
      </c>
      <c r="T8" s="24" t="n">
        <v>14204167.08047999</v>
      </c>
      <c r="U8" t="inlineStr">
        <is>
          <t>target</t>
        </is>
      </c>
      <c r="V8" s="22" t="n">
        <v>0.85</v>
      </c>
      <c r="W8" t="inlineStr">
        <is>
          <t>hcris_derived_with_state_agency</t>
        </is>
      </c>
      <c r="X8" t="b">
        <v>0</v>
      </c>
    </row>
    <row r="9">
      <c r="A9" t="inlineStr">
        <is>
          <t>050498</t>
        </is>
      </c>
      <c r="B9" t="inlineStr">
        <is>
          <t>SUTTER AUBURN FAITH HOSPITAL</t>
        </is>
      </c>
      <c r="C9" t="inlineStr">
        <is>
          <t>AUBURN</t>
        </is>
      </c>
      <c r="D9" t="inlineStr">
        <is>
          <t>CA</t>
        </is>
      </c>
      <c r="E9" t="inlineStr">
        <is>
          <t>Sutter Health</t>
        </is>
      </c>
      <c r="F9" s="22" t="n">
        <v>106.4</v>
      </c>
      <c r="G9" s="23" t="n">
        <v>92.34892500000001</v>
      </c>
      <c r="H9" s="23" t="n">
        <v>142.89</v>
      </c>
      <c r="I9" s="23" t="n">
        <v>50.54107499999998</v>
      </c>
      <c r="J9" s="24" t="n">
        <v>1753.1046</v>
      </c>
      <c r="K9" s="24" t="n">
        <v>876.5522999999999</v>
      </c>
      <c r="L9" s="24" t="n">
        <v>876.5522999999999</v>
      </c>
      <c r="M9" s="25" t="n">
        <v>0.5</v>
      </c>
      <c r="N9" s="24" t="n">
        <v>7884.407699999996</v>
      </c>
      <c r="O9" s="24" t="n">
        <v>7007.855399999996</v>
      </c>
      <c r="P9" s="24" t="n">
        <v>186530.32944</v>
      </c>
      <c r="Q9" s="24" t="n">
        <v>93265.16472</v>
      </c>
      <c r="R9" s="24" t="n">
        <v>745635.8145599996</v>
      </c>
      <c r="S9" s="24" t="n">
        <v>4476727.90656</v>
      </c>
      <c r="T9" s="24" t="n">
        <v>17895259.54943999</v>
      </c>
      <c r="U9" t="inlineStr">
        <is>
          <t>target</t>
        </is>
      </c>
      <c r="V9" s="22" t="n">
        <v>0.85</v>
      </c>
      <c r="W9" t="inlineStr">
        <is>
          <t>hcris_derived_with_state_agency</t>
        </is>
      </c>
      <c r="X9" t="b">
        <v>0</v>
      </c>
    </row>
    <row r="10">
      <c r="A10" t="inlineStr">
        <is>
          <t>050523</t>
        </is>
      </c>
      <c r="B10" t="inlineStr">
        <is>
          <t>SUTTER DELTA MEDICAL CENTER</t>
        </is>
      </c>
      <c r="C10" t="inlineStr">
        <is>
          <t>ANTIOCH</t>
        </is>
      </c>
      <c r="D10" t="inlineStr">
        <is>
          <t>CA</t>
        </is>
      </c>
      <c r="E10" t="inlineStr">
        <is>
          <t>Sutter Health</t>
        </is>
      </c>
      <c r="F10" s="22" t="n">
        <v>145.7</v>
      </c>
      <c r="G10" s="23" t="n">
        <v>101.619675</v>
      </c>
      <c r="H10" s="23" t="n">
        <v>142.89</v>
      </c>
      <c r="I10" s="23" t="n">
        <v>41.27032499999999</v>
      </c>
      <c r="J10" s="24" t="n">
        <v>1884.3786</v>
      </c>
      <c r="K10" s="24" t="n">
        <v>942.1893</v>
      </c>
      <c r="L10" s="24" t="n">
        <v>942.1893</v>
      </c>
      <c r="M10" s="25" t="n">
        <v>0.5</v>
      </c>
      <c r="N10" s="24" t="n">
        <v>6438.170699999998</v>
      </c>
      <c r="O10" s="24" t="n">
        <v>5495.981399999998</v>
      </c>
      <c r="P10" s="24" t="n">
        <v>274553.96202</v>
      </c>
      <c r="Q10" s="24" t="n">
        <v>137276.98101</v>
      </c>
      <c r="R10" s="24" t="n">
        <v>800764.4899799996</v>
      </c>
      <c r="S10" s="24" t="n">
        <v>6589295.088479999</v>
      </c>
      <c r="T10" s="24" t="n">
        <v>19218347.75951999</v>
      </c>
      <c r="U10" t="inlineStr">
        <is>
          <t>target</t>
        </is>
      </c>
      <c r="V10" s="22" t="n">
        <v>0.85</v>
      </c>
      <c r="W10" t="inlineStr">
        <is>
          <t>hcris_derived_with_state_agency</t>
        </is>
      </c>
      <c r="X10" t="b">
        <v>0</v>
      </c>
    </row>
    <row r="11">
      <c r="A11" t="inlineStr">
        <is>
          <t>050537</t>
        </is>
      </c>
      <c r="B11" t="inlineStr">
        <is>
          <t>SUTTER DAVIS HOSPITAL</t>
        </is>
      </c>
      <c r="C11" t="inlineStr">
        <is>
          <t>DAVIS</t>
        </is>
      </c>
      <c r="D11" t="inlineStr">
        <is>
          <t>CA</t>
        </is>
      </c>
      <c r="E11" t="inlineStr">
        <is>
          <t>Sutter Health</t>
        </is>
      </c>
      <c r="F11" s="22" t="n">
        <v>111.2</v>
      </c>
      <c r="G11" s="23" t="n">
        <v>96.92892500000001</v>
      </c>
      <c r="H11" s="23" t="n">
        <v>142.89</v>
      </c>
      <c r="I11" s="23" t="n">
        <v>45.96107499999998</v>
      </c>
      <c r="J11" s="24" t="n">
        <v>1753.1046</v>
      </c>
      <c r="K11" s="24" t="n">
        <v>876.5522999999999</v>
      </c>
      <c r="L11" s="24" t="n">
        <v>876.5522999999999</v>
      </c>
      <c r="M11" s="25" t="n">
        <v>0.5</v>
      </c>
      <c r="N11" s="24" t="n">
        <v>7169.927699999997</v>
      </c>
      <c r="O11" s="24" t="n">
        <v>6293.375399999997</v>
      </c>
      <c r="P11" s="24" t="n">
        <v>194945.23152</v>
      </c>
      <c r="Q11" s="24" t="n">
        <v>97472.61576</v>
      </c>
      <c r="R11" s="24" t="n">
        <v>699823.3444799997</v>
      </c>
      <c r="S11" s="24" t="n">
        <v>4678685.55648</v>
      </c>
      <c r="T11" s="24" t="n">
        <v>16795760.26751999</v>
      </c>
      <c r="U11" t="inlineStr">
        <is>
          <t>target</t>
        </is>
      </c>
      <c r="V11" s="22" t="n">
        <v>0.85</v>
      </c>
      <c r="W11" t="inlineStr">
        <is>
          <t>hcris_derived_with_state_agency</t>
        </is>
      </c>
      <c r="X11" t="b">
        <v>0</v>
      </c>
    </row>
    <row r="12">
      <c r="A12" t="inlineStr">
        <is>
          <t>050714</t>
        </is>
      </c>
      <c r="B12" t="inlineStr">
        <is>
          <t>SUTTER MATERNITY &amp; SURGERY CENTER OF SANTA CRUZ</t>
        </is>
      </c>
      <c r="C12" t="inlineStr">
        <is>
          <t>SANTA CRUZ</t>
        </is>
      </c>
      <c r="D12" t="inlineStr">
        <is>
          <t>CA</t>
        </is>
      </c>
      <c r="E12" t="inlineStr">
        <is>
          <t>Sutter Health</t>
        </is>
      </c>
      <c r="F12" s="22" t="n">
        <v>47.5</v>
      </c>
      <c r="G12" s="23" t="n">
        <v>105.225375</v>
      </c>
      <c r="H12" s="23" t="n">
        <v>142.89</v>
      </c>
      <c r="I12" s="23" t="n">
        <v>37.66462499999999</v>
      </c>
      <c r="J12" s="24" t="n">
        <v>1736.397</v>
      </c>
      <c r="K12" s="24" t="n">
        <v>868.1985</v>
      </c>
      <c r="L12" s="24" t="n">
        <v>868.1985</v>
      </c>
      <c r="M12" s="25" t="n">
        <v>0.5</v>
      </c>
      <c r="N12" s="24" t="n">
        <v>5875.681499999998</v>
      </c>
      <c r="O12" s="24" t="n">
        <v>5007.482999999997</v>
      </c>
      <c r="P12" s="24" t="n">
        <v>82478.8575</v>
      </c>
      <c r="Q12" s="24" t="n">
        <v>41239.42875</v>
      </c>
      <c r="R12" s="24" t="n">
        <v>237855.4424999999</v>
      </c>
      <c r="S12" s="24" t="n">
        <v>1979492.58</v>
      </c>
      <c r="T12" s="24" t="n">
        <v>5708530.619999997</v>
      </c>
      <c r="U12" t="inlineStr">
        <is>
          <t>target</t>
        </is>
      </c>
      <c r="V12" s="22" t="n">
        <v>0.85</v>
      </c>
      <c r="W12" t="inlineStr">
        <is>
          <t>hcris_derived_with_state_agency</t>
        </is>
      </c>
      <c r="X12" t="b">
        <v>0</v>
      </c>
    </row>
    <row r="13">
      <c r="A13" t="inlineStr">
        <is>
          <t>050766</t>
        </is>
      </c>
      <c r="B13" t="inlineStr">
        <is>
          <t>SUTTER SURGICAL HOSPITAL - NORTH VALLEY</t>
        </is>
      </c>
      <c r="C13" t="inlineStr">
        <is>
          <t>YUBA CITY</t>
        </is>
      </c>
      <c r="D13" t="inlineStr">
        <is>
          <t>CA</t>
        </is>
      </c>
      <c r="E13" t="inlineStr">
        <is>
          <t>Sutter Health</t>
        </is>
      </c>
      <c r="F13" s="22" t="n">
        <v>14.9</v>
      </c>
      <c r="G13" s="23" t="n">
        <v>90.265175</v>
      </c>
      <c r="H13" s="23" t="n">
        <v>142.89</v>
      </c>
      <c r="I13" s="23" t="n">
        <v>52.62482499999999</v>
      </c>
      <c r="J13" s="24" t="n">
        <v>1574.0946</v>
      </c>
      <c r="K13" s="24" t="n">
        <v>787.0473000000001</v>
      </c>
      <c r="L13" s="24" t="n">
        <v>787.0473000000001</v>
      </c>
      <c r="M13" s="25" t="n">
        <v>0.5</v>
      </c>
      <c r="N13" s="24" t="n">
        <v>8209.472699999998</v>
      </c>
      <c r="O13" s="24" t="n">
        <v>7422.425399999998</v>
      </c>
      <c r="P13" s="24" t="n">
        <v>23454.00954</v>
      </c>
      <c r="Q13" s="24" t="n">
        <v>11727.00477</v>
      </c>
      <c r="R13" s="24" t="n">
        <v>110594.13846</v>
      </c>
      <c r="S13" s="24" t="n">
        <v>562896.22896</v>
      </c>
      <c r="T13" s="24" t="n">
        <v>2654259.323039999</v>
      </c>
      <c r="U13" t="inlineStr">
        <is>
          <t>target</t>
        </is>
      </c>
      <c r="V13" s="22" t="n">
        <v>0.85</v>
      </c>
      <c r="W13" t="inlineStr">
        <is>
          <t>hcris_derived_with_state_agency</t>
        </is>
      </c>
      <c r="X13" t="b">
        <v>0</v>
      </c>
    </row>
    <row r="14">
      <c r="A14" t="inlineStr">
        <is>
          <t>051329</t>
        </is>
      </c>
      <c r="B14" t="inlineStr">
        <is>
          <t>SUTTER LAKESIDE HOSPITAL</t>
        </is>
      </c>
      <c r="C14" t="inlineStr">
        <is>
          <t>LAKEPORT</t>
        </is>
      </c>
      <c r="D14" t="inlineStr">
        <is>
          <t>CA</t>
        </is>
      </c>
      <c r="E14" t="inlineStr">
        <is>
          <t>Sutter Health</t>
        </is>
      </c>
      <c r="F14" s="22" t="n">
        <v>61.4</v>
      </c>
      <c r="G14" s="23" t="n">
        <v>90.78517500000001</v>
      </c>
      <c r="H14" s="23" t="n">
        <v>142.89</v>
      </c>
      <c r="I14" s="23" t="n">
        <v>52.10482499999998</v>
      </c>
      <c r="J14" s="24" t="n">
        <v>1574.0946</v>
      </c>
      <c r="K14" s="24" t="n">
        <v>787.0473000000001</v>
      </c>
      <c r="L14" s="24" t="n">
        <v>787.0473000000001</v>
      </c>
      <c r="M14" s="25" t="n">
        <v>0.5</v>
      </c>
      <c r="N14" s="24" t="n">
        <v>8128.352699999997</v>
      </c>
      <c r="O14" s="24" t="n">
        <v>7341.305399999996</v>
      </c>
      <c r="P14" s="24" t="n">
        <v>96649.40844</v>
      </c>
      <c r="Q14" s="24" t="n">
        <v>48324.70422</v>
      </c>
      <c r="R14" s="24" t="n">
        <v>450756.1515599997</v>
      </c>
      <c r="S14" s="24" t="n">
        <v>2319585.80256</v>
      </c>
      <c r="T14" s="24" t="n">
        <v>10818147.63743999</v>
      </c>
      <c r="U14" t="inlineStr">
        <is>
          <t>target</t>
        </is>
      </c>
      <c r="V14" s="22" t="n">
        <v>0.85</v>
      </c>
      <c r="W14" t="inlineStr">
        <is>
          <t>hcris_derived_with_state_agency</t>
        </is>
      </c>
      <c r="X14" t="b">
        <v>0</v>
      </c>
    </row>
    <row r="15">
      <c r="A15" t="inlineStr">
        <is>
          <t>054096</t>
        </is>
      </c>
      <c r="B15" t="inlineStr">
        <is>
          <t>SUTTER CENTER FOR PSYCHIATRY</t>
        </is>
      </c>
      <c r="C15" t="inlineStr">
        <is>
          <t>SACRAMENTO</t>
        </is>
      </c>
      <c r="D15" t="inlineStr">
        <is>
          <t>CA</t>
        </is>
      </c>
      <c r="E15" t="inlineStr">
        <is>
          <t>Sutter Health</t>
        </is>
      </c>
      <c r="F15" s="22" t="n">
        <v>55.8</v>
      </c>
      <c r="G15" s="23" t="n">
        <v>101.108925</v>
      </c>
      <c r="H15" s="23" t="n">
        <v>142.89</v>
      </c>
      <c r="I15" s="23" t="n">
        <v>41.78107499999997</v>
      </c>
      <c r="J15" s="24" t="n">
        <v>1753.1046</v>
      </c>
      <c r="K15" s="24" t="n">
        <v>876.5522999999999</v>
      </c>
      <c r="L15" s="24" t="n">
        <v>876.5522999999999</v>
      </c>
      <c r="M15" s="25" t="n">
        <v>0.5</v>
      </c>
      <c r="N15" s="24" t="n">
        <v>6517.847699999996</v>
      </c>
      <c r="O15" s="24" t="n">
        <v>5641.295399999996</v>
      </c>
      <c r="P15" s="24" t="n">
        <v>97823.23667999999</v>
      </c>
      <c r="Q15" s="24" t="n">
        <v>48911.61833999999</v>
      </c>
      <c r="R15" s="24" t="n">
        <v>314784.2833199998</v>
      </c>
      <c r="S15" s="24" t="n">
        <v>2347757.68032</v>
      </c>
      <c r="T15" s="24" t="n">
        <v>7554822.799679996</v>
      </c>
      <c r="U15" t="inlineStr">
        <is>
          <t>target</t>
        </is>
      </c>
      <c r="V15" s="22" t="n">
        <v>0.85</v>
      </c>
      <c r="W15" t="inlineStr">
        <is>
          <t>hcris_derived_with_state_agency</t>
        </is>
      </c>
      <c r="X1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1379.3715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1034.528625</v>
      </c>
      <c r="D5" s="24" t="n">
        <v>1983.809125</v>
      </c>
    </row>
    <row r="6">
      <c r="A6" t="inlineStr">
        <is>
          <t>50%</t>
        </is>
      </c>
      <c r="B6" s="24" t="n">
        <v>750</v>
      </c>
      <c r="C6" s="24" t="n">
        <v>827.6229000000001</v>
      </c>
      <c r="D6" s="24" t="n">
        <v>1655.2458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1379.3715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1103.4972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14</v>
      </c>
      <c r="C4" s="23" t="n">
        <v>91.56705000000001</v>
      </c>
      <c r="D4" s="23" t="n">
        <v>142.89</v>
      </c>
      <c r="E4" s="23" t="n">
        <v>51.32294999999998</v>
      </c>
      <c r="F4" s="24" t="n">
        <v>1655.2458</v>
      </c>
      <c r="G4" s="24" t="n">
        <v>827.6229000000001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050014</t>
        </is>
      </c>
      <c r="B2" t="inlineStr">
        <is>
          <t>SUTTER AMADOR HOSPITAL</t>
        </is>
      </c>
      <c r="C2" t="inlineStr">
        <is>
          <t>JACKSON</t>
        </is>
      </c>
      <c r="D2" t="inlineStr">
        <is>
          <t>CA</t>
        </is>
      </c>
      <c r="E2" t="inlineStr">
        <is>
          <t>AMADOR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307</v>
      </c>
      <c r="I2" t="inlineStr"/>
      <c r="J2" t="inlineStr"/>
      <c r="K2" s="25" t="n">
        <v>0.1176</v>
      </c>
      <c r="L2" s="24" t="n">
        <v>82.90000000000001</v>
      </c>
      <c r="M2" s="24" t="n">
        <v>84.905175</v>
      </c>
      <c r="N2" s="24" t="n">
        <v>142.89</v>
      </c>
      <c r="O2" t="inlineStr">
        <is>
          <t>hcris_derived_with_state_agency</t>
        </is>
      </c>
      <c r="P2" s="26" t="n">
        <v>0.85</v>
      </c>
    </row>
    <row r="3">
      <c r="A3" t="inlineStr">
        <is>
          <t>050101</t>
        </is>
      </c>
      <c r="B3" t="inlineStr">
        <is>
          <t>SUTTER SOLANO MEDICAL CENTER</t>
        </is>
      </c>
      <c r="C3" t="inlineStr">
        <is>
          <t>VALLEJO</t>
        </is>
      </c>
      <c r="D3" t="inlineStr">
        <is>
          <t>CA</t>
        </is>
      </c>
      <c r="E3" t="inlineStr">
        <is>
          <t>SOLANO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455</v>
      </c>
      <c r="I3" t="inlineStr"/>
      <c r="J3" t="inlineStr"/>
      <c r="K3" s="25" t="n">
        <v>0.0707</v>
      </c>
      <c r="L3" s="24" t="n">
        <v>123</v>
      </c>
      <c r="M3" s="24" t="n">
        <v>83.675175</v>
      </c>
      <c r="N3" s="24" t="n">
        <v>142.89</v>
      </c>
      <c r="O3" t="inlineStr">
        <is>
          <t>hcris_derived_with_state_agency</t>
        </is>
      </c>
      <c r="P3" s="26" t="n">
        <v>0.85</v>
      </c>
    </row>
    <row r="4">
      <c r="A4" t="inlineStr">
        <is>
          <t>050108</t>
        </is>
      </c>
      <c r="B4" t="inlineStr">
        <is>
          <t>SUTTER MEDICAL CENTER, SACRAMENTO</t>
        </is>
      </c>
      <c r="C4" t="inlineStr">
        <is>
          <t>SACRAMENTO</t>
        </is>
      </c>
      <c r="D4" t="inlineStr">
        <is>
          <t>CA</t>
        </is>
      </c>
      <c r="E4" t="inlineStr">
        <is>
          <t>SACRAMENTO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3337</v>
      </c>
      <c r="I4" t="inlineStr"/>
      <c r="J4" t="inlineStr"/>
      <c r="K4" s="25" t="n">
        <v>0.1806</v>
      </c>
      <c r="L4" s="24" t="n">
        <v>900.9</v>
      </c>
      <c r="M4" s="24" t="n">
        <v>97.588925</v>
      </c>
      <c r="N4" s="24" t="n">
        <v>142.89</v>
      </c>
      <c r="O4" t="inlineStr">
        <is>
          <t>hcris_derived_with_state_agency</t>
        </is>
      </c>
      <c r="P4" s="26" t="n">
        <v>0.85</v>
      </c>
    </row>
    <row r="5">
      <c r="A5" t="inlineStr">
        <is>
          <t>050291</t>
        </is>
      </c>
      <c r="B5" t="inlineStr">
        <is>
          <t>SUTTER SANTA ROSA REGIONAL HOSPITAL</t>
        </is>
      </c>
      <c r="C5" t="inlineStr">
        <is>
          <t>SANTA ROSA</t>
        </is>
      </c>
      <c r="D5" t="inlineStr">
        <is>
          <t>CA</t>
        </is>
      </c>
      <c r="E5" t="inlineStr">
        <is>
          <t>SONOMA</t>
        </is>
      </c>
      <c r="F5" t="inlineStr">
        <is>
          <t>Acute Care Hospitals</t>
        </is>
      </c>
      <c r="G5" t="inlineStr">
        <is>
          <t>Voluntary non-profit - Other</t>
        </is>
      </c>
      <c r="H5" s="24" t="n">
        <v>768</v>
      </c>
      <c r="I5" t="inlineStr"/>
      <c r="J5" t="inlineStr"/>
      <c r="K5" s="25" t="n">
        <v>0.196</v>
      </c>
      <c r="L5" s="24" t="n">
        <v>207.3</v>
      </c>
      <c r="M5" s="24" t="n">
        <v>85.625175</v>
      </c>
      <c r="N5" s="24" t="n">
        <v>142.89</v>
      </c>
      <c r="O5" t="inlineStr">
        <is>
          <t>hcris_derived_with_state_agency</t>
        </is>
      </c>
      <c r="P5" s="26" t="n">
        <v>0.85</v>
      </c>
    </row>
    <row r="6">
      <c r="A6" t="inlineStr">
        <is>
          <t>050309</t>
        </is>
      </c>
      <c r="B6" t="inlineStr">
        <is>
          <t>SUTTER ROSEVILLE MEDICAL CENTER</t>
        </is>
      </c>
      <c r="C6" t="inlineStr">
        <is>
          <t>ROSEVILLE</t>
        </is>
      </c>
      <c r="D6" t="inlineStr">
        <is>
          <t>CA</t>
        </is>
      </c>
      <c r="E6" t="inlineStr">
        <is>
          <t>PLACER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2633</v>
      </c>
      <c r="I6" t="inlineStr"/>
      <c r="J6" t="inlineStr"/>
      <c r="K6" s="25" t="n">
        <v>0.2127</v>
      </c>
      <c r="L6" s="24" t="n">
        <v>710.8</v>
      </c>
      <c r="M6" s="24" t="n">
        <v>96.76892500000001</v>
      </c>
      <c r="N6" s="24" t="n">
        <v>142.89</v>
      </c>
      <c r="O6" t="inlineStr">
        <is>
          <t>hcris_derived_with_state_agency</t>
        </is>
      </c>
      <c r="P6" s="26" t="n">
        <v>0.85</v>
      </c>
    </row>
    <row r="7">
      <c r="A7" t="inlineStr">
        <is>
          <t>050313</t>
        </is>
      </c>
      <c r="B7" t="inlineStr">
        <is>
          <t>SUTTER TRACY COMMUNITY HOSPITAL</t>
        </is>
      </c>
      <c r="C7" t="inlineStr">
        <is>
          <t>TRACY</t>
        </is>
      </c>
      <c r="D7" t="inlineStr">
        <is>
          <t>CA</t>
        </is>
      </c>
      <c r="E7" t="inlineStr">
        <is>
          <t>SAN JOAQUIN</t>
        </is>
      </c>
      <c r="F7" t="inlineStr">
        <is>
          <t>Acute Care Hospitals</t>
        </is>
      </c>
      <c r="G7" t="inlineStr">
        <is>
          <t>Proprietary</t>
        </is>
      </c>
      <c r="H7" s="24" t="n">
        <v>410</v>
      </c>
      <c r="I7" t="inlineStr"/>
      <c r="J7" t="inlineStr"/>
      <c r="K7" s="25" t="n">
        <v>0.2282</v>
      </c>
      <c r="L7" s="24" t="n">
        <v>110.7</v>
      </c>
      <c r="M7" s="24" t="n">
        <v>88.72369999999999</v>
      </c>
      <c r="N7" s="24" t="n">
        <v>142.89</v>
      </c>
      <c r="O7" t="inlineStr">
        <is>
          <t>hcris_derived_with_state_agency</t>
        </is>
      </c>
      <c r="P7" s="26" t="n">
        <v>0.85</v>
      </c>
    </row>
    <row r="8">
      <c r="A8" t="inlineStr">
        <is>
          <t>050417</t>
        </is>
      </c>
      <c r="B8" t="inlineStr">
        <is>
          <t>SUTTER COAST HOSPITAL</t>
        </is>
      </c>
      <c r="C8" t="inlineStr">
        <is>
          <t>CRESCENT CITY</t>
        </is>
      </c>
      <c r="D8" t="inlineStr">
        <is>
          <t>CA</t>
        </is>
      </c>
      <c r="E8" t="inlineStr">
        <is>
          <t>DEL NORTE</t>
        </is>
      </c>
      <c r="F8" t="inlineStr">
        <is>
          <t>Acute Care Hospitals</t>
        </is>
      </c>
      <c r="G8" t="inlineStr">
        <is>
          <t>Government - Hospital District or Authority</t>
        </is>
      </c>
      <c r="H8" s="24" t="n">
        <v>264</v>
      </c>
      <c r="I8" t="inlineStr"/>
      <c r="J8" t="inlineStr"/>
      <c r="K8" s="25" t="n">
        <v>0.0602</v>
      </c>
      <c r="L8" s="24" t="n">
        <v>71.3</v>
      </c>
      <c r="M8" s="24" t="n">
        <v>84.635175</v>
      </c>
      <c r="N8" s="24" t="n">
        <v>142.89</v>
      </c>
      <c r="O8" t="inlineStr">
        <is>
          <t>hcris_derived_with_state_agency</t>
        </is>
      </c>
      <c r="P8" s="26" t="n">
        <v>0.85</v>
      </c>
    </row>
    <row r="9">
      <c r="A9" t="inlineStr">
        <is>
          <t>050498</t>
        </is>
      </c>
      <c r="B9" t="inlineStr">
        <is>
          <t>SUTTER AUBURN FAITH HOSPITAL</t>
        </is>
      </c>
      <c r="C9" t="inlineStr">
        <is>
          <t>AUBURN</t>
        </is>
      </c>
      <c r="D9" t="inlineStr">
        <is>
          <t>CA</t>
        </is>
      </c>
      <c r="E9" t="inlineStr">
        <is>
          <t>PLACER</t>
        </is>
      </c>
      <c r="F9" t="inlineStr">
        <is>
          <t>Acute Care Hospitals</t>
        </is>
      </c>
      <c r="G9" t="inlineStr">
        <is>
          <t>Voluntary non-profit - Private</t>
        </is>
      </c>
      <c r="H9" s="24" t="n">
        <v>394</v>
      </c>
      <c r="I9" t="inlineStr"/>
      <c r="J9" t="inlineStr"/>
      <c r="K9" s="25" t="n">
        <v>0.1174</v>
      </c>
      <c r="L9" s="24" t="n">
        <v>106.4</v>
      </c>
      <c r="M9" s="24" t="n">
        <v>92.34892500000001</v>
      </c>
      <c r="N9" s="24" t="n">
        <v>142.89</v>
      </c>
      <c r="O9" t="inlineStr">
        <is>
          <t>hcris_derived_with_state_agency</t>
        </is>
      </c>
      <c r="P9" s="26" t="n">
        <v>0.85</v>
      </c>
    </row>
    <row r="10">
      <c r="A10" t="inlineStr">
        <is>
          <t>050523</t>
        </is>
      </c>
      <c r="B10" t="inlineStr">
        <is>
          <t>SUTTER DELTA MEDICAL CENTER</t>
        </is>
      </c>
      <c r="C10" t="inlineStr">
        <is>
          <t>ANTIOCH</t>
        </is>
      </c>
      <c r="D10" t="inlineStr">
        <is>
          <t>CA</t>
        </is>
      </c>
      <c r="E10" t="inlineStr">
        <is>
          <t>CONTRA COSTA</t>
        </is>
      </c>
      <c r="F10" t="inlineStr">
        <is>
          <t>Acute Care Hospitals</t>
        </is>
      </c>
      <c r="G10" t="inlineStr">
        <is>
          <t>Voluntary non-profit - Private</t>
        </is>
      </c>
      <c r="H10" s="24" t="n">
        <v>540</v>
      </c>
      <c r="I10" t="inlineStr"/>
      <c r="J10" t="inlineStr"/>
      <c r="K10" s="25" t="n">
        <v>0.0548</v>
      </c>
      <c r="L10" s="24" t="n">
        <v>145.7</v>
      </c>
      <c r="M10" s="24" t="n">
        <v>101.619675</v>
      </c>
      <c r="N10" s="24" t="n">
        <v>142.89</v>
      </c>
      <c r="O10" t="inlineStr">
        <is>
          <t>hcris_derived_with_state_agency</t>
        </is>
      </c>
      <c r="P10" s="26" t="n">
        <v>0.85</v>
      </c>
    </row>
    <row r="11">
      <c r="A11" t="inlineStr">
        <is>
          <t>050537</t>
        </is>
      </c>
      <c r="B11" t="inlineStr">
        <is>
          <t>SUTTER DAVIS HOSPITAL</t>
        </is>
      </c>
      <c r="C11" t="inlineStr">
        <is>
          <t>DAVIS</t>
        </is>
      </c>
      <c r="D11" t="inlineStr">
        <is>
          <t>CA</t>
        </is>
      </c>
      <c r="E11" t="inlineStr">
        <is>
          <t>YOLO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412</v>
      </c>
      <c r="I11" t="inlineStr"/>
      <c r="J11" t="inlineStr"/>
      <c r="K11" s="25" t="n">
        <v>0.2371</v>
      </c>
      <c r="L11" s="24" t="n">
        <v>111.2</v>
      </c>
      <c r="M11" s="24" t="n">
        <v>96.92892500000001</v>
      </c>
      <c r="N11" s="24" t="n">
        <v>142.89</v>
      </c>
      <c r="O11" t="inlineStr">
        <is>
          <t>hcris_derived_with_state_agency</t>
        </is>
      </c>
      <c r="P11" s="26" t="n">
        <v>0.85</v>
      </c>
    </row>
    <row r="12">
      <c r="A12" t="inlineStr">
        <is>
          <t>050714</t>
        </is>
      </c>
      <c r="B12" t="inlineStr">
        <is>
          <t>SUTTER MATERNITY &amp; SURGERY CENTER OF SANTA CRUZ</t>
        </is>
      </c>
      <c r="C12" t="inlineStr">
        <is>
          <t>SANTA CRUZ</t>
        </is>
      </c>
      <c r="D12" t="inlineStr">
        <is>
          <t>CA</t>
        </is>
      </c>
      <c r="E12" t="inlineStr">
        <is>
          <t>SANTA CRUZ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176</v>
      </c>
      <c r="I12" t="inlineStr"/>
      <c r="J12" t="inlineStr"/>
      <c r="K12" s="25" t="n">
        <v>0.0893</v>
      </c>
      <c r="L12" s="24" t="n">
        <v>47.5</v>
      </c>
      <c r="M12" s="24" t="n">
        <v>105.225375</v>
      </c>
      <c r="N12" s="24" t="n">
        <v>142.89</v>
      </c>
      <c r="O12" t="inlineStr">
        <is>
          <t>hcris_derived_with_state_agency</t>
        </is>
      </c>
      <c r="P12" s="26" t="n">
        <v>0.85</v>
      </c>
    </row>
    <row r="13">
      <c r="A13" t="inlineStr">
        <is>
          <t>050766</t>
        </is>
      </c>
      <c r="B13" t="inlineStr">
        <is>
          <t>SUTTER SURGICAL HOSPITAL - NORTH VALLEY</t>
        </is>
      </c>
      <c r="C13" t="inlineStr">
        <is>
          <t>YUBA CITY</t>
        </is>
      </c>
      <c r="D13" t="inlineStr">
        <is>
          <t>CA</t>
        </is>
      </c>
      <c r="E13" t="inlineStr">
        <is>
          <t>SUTTER</t>
        </is>
      </c>
      <c r="F13" t="inlineStr">
        <is>
          <t>Acute Care Hospitals</t>
        </is>
      </c>
      <c r="G13" t="inlineStr">
        <is>
          <t>Physician</t>
        </is>
      </c>
      <c r="H13" s="24" t="n">
        <v>55</v>
      </c>
      <c r="I13" t="inlineStr"/>
      <c r="J13" t="inlineStr"/>
      <c r="K13" s="25" t="n">
        <v>-0.1247</v>
      </c>
      <c r="L13" s="24" t="n">
        <v>14.9</v>
      </c>
      <c r="M13" s="24" t="n">
        <v>90.265175</v>
      </c>
      <c r="N13" s="24" t="n">
        <v>142.89</v>
      </c>
      <c r="O13" t="inlineStr">
        <is>
          <t>hcris_derived_with_state_agency</t>
        </is>
      </c>
      <c r="P13" s="26" t="n">
        <v>0.85</v>
      </c>
    </row>
    <row r="14">
      <c r="A14" t="inlineStr">
        <is>
          <t>051329</t>
        </is>
      </c>
      <c r="B14" t="inlineStr">
        <is>
          <t>SUTTER LAKESIDE HOSPITAL</t>
        </is>
      </c>
      <c r="C14" t="inlineStr">
        <is>
          <t>LAKEPORT</t>
        </is>
      </c>
      <c r="D14" t="inlineStr">
        <is>
          <t>CA</t>
        </is>
      </c>
      <c r="E14" t="inlineStr">
        <is>
          <t>LAKE</t>
        </is>
      </c>
      <c r="F14" t="inlineStr">
        <is>
          <t>Critical Access Hospitals</t>
        </is>
      </c>
      <c r="G14" t="inlineStr">
        <is>
          <t>Voluntary non-profit - Private</t>
        </is>
      </c>
      <c r="H14" s="24" t="n">
        <v>228</v>
      </c>
      <c r="I14" t="inlineStr"/>
      <c r="J14" t="inlineStr"/>
      <c r="K14" s="25" t="n">
        <v>0.1566</v>
      </c>
      <c r="L14" s="24" t="n">
        <v>61.4</v>
      </c>
      <c r="M14" s="24" t="n">
        <v>90.78517500000001</v>
      </c>
      <c r="N14" s="24" t="n">
        <v>142.89</v>
      </c>
      <c r="O14" t="inlineStr">
        <is>
          <t>hcris_derived_with_state_agency</t>
        </is>
      </c>
      <c r="P14" s="26" t="n">
        <v>0.85</v>
      </c>
    </row>
    <row r="15">
      <c r="A15" t="inlineStr">
        <is>
          <t>054096</t>
        </is>
      </c>
      <c r="B15" t="inlineStr">
        <is>
          <t>SUTTER CENTER FOR PSYCHIATRY</t>
        </is>
      </c>
      <c r="C15" t="inlineStr">
        <is>
          <t>SACRAMENTO</t>
        </is>
      </c>
      <c r="D15" t="inlineStr">
        <is>
          <t>CA</t>
        </is>
      </c>
      <c r="E15" t="inlineStr">
        <is>
          <t>SACRAMENTO</t>
        </is>
      </c>
      <c r="F15" t="inlineStr">
        <is>
          <t>Psychiatric</t>
        </is>
      </c>
      <c r="G15" t="inlineStr">
        <is>
          <t>Voluntary non-profit - Private</t>
        </is>
      </c>
      <c r="H15" s="24" t="n">
        <v>207</v>
      </c>
      <c r="I15" t="inlineStr"/>
      <c r="J15" t="inlineStr"/>
      <c r="K15" s="25" t="n">
        <v>-0.21</v>
      </c>
      <c r="L15" s="24" t="n">
        <v>55.8</v>
      </c>
      <c r="M15" s="24" t="n">
        <v>101.108925</v>
      </c>
      <c r="N15" s="24" t="n">
        <v>142.89</v>
      </c>
      <c r="O15" t="inlineStr">
        <is>
          <t>hcris_derived_with_state_agency</t>
        </is>
      </c>
      <c r="P15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Sutter Health</t>
        </is>
      </c>
    </row>
    <row r="4">
      <c r="A4" s="6" t="inlineStr">
        <is>
          <t>Scope</t>
        </is>
      </c>
      <c r="B4" s="29" t="inlineStr">
        <is>
          <t>14 hospitals in 1 states (CA)</t>
        </is>
      </c>
    </row>
    <row r="5">
      <c r="A5" s="6" t="inlineStr">
        <is>
          <t>Generated at</t>
        </is>
      </c>
      <c r="B5" s="29" t="inlineStr">
        <is>
          <t>2026-05-28T11:02:16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2026-05-28T18:02:16Z</dcterms:created>
  <dcterms:modified xsi:type="dcterms:W3CDTF">2026-05-28T18:02:16Z</dcterms:modified>
</cp:coreProperties>
</file>