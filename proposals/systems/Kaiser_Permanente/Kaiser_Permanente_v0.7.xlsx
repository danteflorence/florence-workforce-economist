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Kaiser Permanente</t>
        </is>
      </c>
    </row>
    <row r="2">
      <c r="A2" s="2" t="inlineStr">
        <is>
          <t>Scope: 38 hospitals in 5 states (CA, HI, OR, TX, WA)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3741.184200000002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38</v>
      </c>
    </row>
    <row r="15">
      <c r="A15" s="6" t="inlineStr">
        <is>
          <t>Hospitals quotable</t>
        </is>
      </c>
      <c r="B15" s="11" t="n">
        <v>35</v>
      </c>
    </row>
    <row r="16">
      <c r="A16" s="6" t="inlineStr">
        <is>
          <t>Hospitals flagged for manual review</t>
        </is>
      </c>
      <c r="B16" s="11" t="n">
        <v>3</v>
      </c>
    </row>
    <row r="17">
      <c r="A17" s="6" t="inlineStr">
        <is>
          <t>Total Covered RN Need (FTE)</t>
        </is>
      </c>
      <c r="B17" s="11" t="n">
        <v>11103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4234.753688174839</v>
      </c>
    </row>
    <row r="29">
      <c r="A29" s="6">
        <f> Net Monthly Savings per RN</f>
        <v/>
      </c>
      <c r="B29" s="13" t="n">
        <v>3741.184200000002</v>
      </c>
    </row>
    <row r="32">
      <c r="A32" s="3" t="inlineStr">
        <is>
          <t>PORTFOLIO TOTALS (35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18450050.14013981</v>
      </c>
    </row>
    <row r="34">
      <c r="A34" s="6" t="inlineStr">
        <is>
          <t>Total monthly FICA offset to hospitals</t>
        </is>
      </c>
      <c r="B34" s="14" t="n">
        <v>9225025.070069907</v>
      </c>
    </row>
    <row r="35">
      <c r="A35" s="6" t="inlineStr">
        <is>
          <t>Total monthly FICA-adjusted effective cost</t>
        </is>
      </c>
      <c r="B35" s="14" t="n">
        <v>9225025.070069907</v>
      </c>
    </row>
    <row r="36">
      <c r="A36" s="6" t="inlineStr">
        <is>
          <t>Total monthly agency premium avoided</t>
        </is>
      </c>
      <c r="B36" s="14" t="n">
        <v>47018046.72443643</v>
      </c>
    </row>
    <row r="37">
      <c r="A37" s="6" t="inlineStr">
        <is>
          <t>Total monthly net hospital savings</t>
        </is>
      </c>
      <c r="B37" s="14" t="n">
        <v>37793021.65436654</v>
      </c>
    </row>
    <row r="38">
      <c r="A38" s="6" t="inlineStr">
        <is>
          <t>Term (24mo) Florence fee</t>
        </is>
      </c>
      <c r="B38" s="14" t="n">
        <v>442801203.3633556</v>
      </c>
    </row>
    <row r="39">
      <c r="A39" s="6" t="inlineStr">
        <is>
          <t>Term (24mo) Hospital net savings</t>
        </is>
      </c>
      <c r="B39" s="14" t="n">
        <v>907032519.7047967</v>
      </c>
    </row>
    <row r="40">
      <c r="A40" s="6" t="inlineStr">
        <is>
          <t>Savings : Fee ratio</t>
        </is>
      </c>
      <c r="B40" s="15" t="n">
        <v>2.048396690919786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167495.3748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167495.3748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10384.7132376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2428.6829346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12813.3961722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1067.78301435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Kaiser Permanente</t>
        </is>
      </c>
      <c r="F2" s="22" t="n">
        <v>176</v>
      </c>
      <c r="G2" s="23" t="n">
        <v>104.369675</v>
      </c>
      <c r="H2" s="23" t="n">
        <v>124.37</v>
      </c>
      <c r="I2" s="23" t="n">
        <v>20.000325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3120.050700000001</v>
      </c>
      <c r="O2" s="24" t="n">
        <v>2177.861400000001</v>
      </c>
      <c r="P2" s="24" t="n">
        <v>331684.9048827933</v>
      </c>
      <c r="Q2" s="24" t="n">
        <v>165842.4524413967</v>
      </c>
      <c r="R2" s="24" t="n">
        <v>383343.2152683687</v>
      </c>
      <c r="S2" s="24" t="n">
        <v>7960437.717187039</v>
      </c>
      <c r="T2" s="24" t="n">
        <v>9200237.166440848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Kaiser Permanente</t>
        </is>
      </c>
      <c r="F3" s="22" t="n">
        <v>526</v>
      </c>
      <c r="G3" s="23" t="n">
        <v>108.00169</v>
      </c>
      <c r="H3" s="23" t="n">
        <v>132.72</v>
      </c>
      <c r="I3" s="23" t="n">
        <v>24.71831</v>
      </c>
      <c r="J3" s="24" t="n">
        <v>1944.28728</v>
      </c>
      <c r="K3" s="24" t="n">
        <v>972.1436399999999</v>
      </c>
      <c r="L3" s="24" t="n">
        <v>972.1436399999999</v>
      </c>
      <c r="M3" s="25" t="n">
        <v>0.5</v>
      </c>
      <c r="N3" s="24" t="n">
        <v>3856.05636</v>
      </c>
      <c r="O3" s="24" t="n">
        <v>2883.912720000001</v>
      </c>
      <c r="P3" s="24" t="n">
        <v>1022783.220643671</v>
      </c>
      <c r="Q3" s="24" t="n">
        <v>511391.6103218354</v>
      </c>
      <c r="R3" s="24" t="n">
        <v>1517068.784103165</v>
      </c>
      <c r="S3" s="24" t="n">
        <v>24546797.2954481</v>
      </c>
      <c r="T3" s="24" t="n">
        <v>36409650.81847597</v>
      </c>
      <c r="U3" t="inlineStr">
        <is>
          <t>target</t>
        </is>
      </c>
      <c r="V3" s="22" t="n">
        <v>0.95</v>
      </c>
      <c r="W3" t="inlineStr">
        <is>
          <t>hcris_nmrc_agency_per_hospital+msp_overlay</t>
        </is>
      </c>
      <c r="X3" t="b">
        <v>0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Kaiser Permanente</t>
        </is>
      </c>
      <c r="F4" s="22" t="n">
        <v>284.5</v>
      </c>
      <c r="G4" s="23" t="n">
        <v>103.219675</v>
      </c>
      <c r="H4" s="23" t="n">
        <v>130.21</v>
      </c>
      <c r="I4" s="23" t="n">
        <v>26.990325</v>
      </c>
      <c r="J4" s="24" t="n">
        <v>1884.3786</v>
      </c>
      <c r="K4" s="24" t="n">
        <v>942.1893</v>
      </c>
      <c r="L4" s="24" t="n">
        <v>942.1893</v>
      </c>
      <c r="M4" s="25" t="n">
        <v>0.5</v>
      </c>
      <c r="N4" s="24" t="n">
        <v>4210.490699999999</v>
      </c>
      <c r="O4" s="24" t="n">
        <v>3268.301399999999</v>
      </c>
      <c r="P4" s="24" t="n">
        <v>536014.9732480993</v>
      </c>
      <c r="Q4" s="24" t="n">
        <v>268007.4866240497</v>
      </c>
      <c r="R4" s="24" t="n">
        <v>929674.3698361492</v>
      </c>
      <c r="S4" s="24" t="n">
        <v>12864359.35795438</v>
      </c>
      <c r="T4" s="24" t="n">
        <v>22312184.87606758</v>
      </c>
      <c r="U4" t="inlineStr">
        <is>
          <t>target</t>
        </is>
      </c>
      <c r="V4" s="22" t="n">
        <v>0.95</v>
      </c>
      <c r="W4" t="inlineStr">
        <is>
          <t>hcris_nmrc_agency_per_hospital+msp_overlay</t>
        </is>
      </c>
      <c r="X4" t="b">
        <v>0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Kaiser Permanente</t>
        </is>
      </c>
      <c r="F5" s="22" t="n">
        <v>269.2</v>
      </c>
      <c r="G5" s="23" t="n">
        <v>145.046471923077</v>
      </c>
      <c r="H5" s="23" t="n">
        <v>145.046471923077</v>
      </c>
      <c r="I5" s="23" t="n">
        <v>0</v>
      </c>
      <c r="J5" s="24" t="n">
        <v>0</v>
      </c>
      <c r="K5" s="24" t="n">
        <v>1210.00962</v>
      </c>
      <c r="L5" s="24" t="n">
        <v>-1210.00962</v>
      </c>
      <c r="M5" s="25" t="n">
        <v>0</v>
      </c>
      <c r="N5" s="24" t="n">
        <v>0</v>
      </c>
      <c r="O5" s="24" t="n">
        <v>1210.00962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t="inlineStr">
        <is>
          <t>manual_review</t>
        </is>
      </c>
      <c r="V5" s="22" t="n">
        <v>0.95</v>
      </c>
      <c r="W5" t="inlineStr">
        <is>
          <t>hcris_nmrc_agency_per_hospital+msp_overlay</t>
        </is>
      </c>
      <c r="X5" t="b">
        <v>1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Kaiser Permanente</t>
        </is>
      </c>
      <c r="F6" s="22" t="n">
        <v>558.1</v>
      </c>
      <c r="G6" s="23" t="n">
        <v>105.079675</v>
      </c>
      <c r="H6" s="23" t="n">
        <v>128.4</v>
      </c>
      <c r="I6" s="23" t="n">
        <v>23.320325</v>
      </c>
      <c r="J6" s="24" t="n">
        <v>1884.3786</v>
      </c>
      <c r="K6" s="24" t="n">
        <v>942.1893</v>
      </c>
      <c r="L6" s="24" t="n">
        <v>942.1893</v>
      </c>
      <c r="M6" s="25" t="n">
        <v>0.5</v>
      </c>
      <c r="N6" s="24" t="n">
        <v>3637.970699999999</v>
      </c>
      <c r="O6" s="24" t="n">
        <v>2695.7814</v>
      </c>
      <c r="P6" s="24" t="n">
        <v>1051640.064567757</v>
      </c>
      <c r="Q6" s="24" t="n">
        <v>525820.0322838784</v>
      </c>
      <c r="R6" s="24" t="n">
        <v>1504470.346647196</v>
      </c>
      <c r="S6" s="24" t="n">
        <v>25239361.54962617</v>
      </c>
      <c r="T6" s="24" t="n">
        <v>36107288.31953271</v>
      </c>
      <c r="U6" t="inlineStr">
        <is>
          <t>target</t>
        </is>
      </c>
      <c r="V6" s="22" t="n">
        <v>0.95</v>
      </c>
      <c r="W6" t="inlineStr">
        <is>
          <t>hcris_nmrc_agency_per_hospital+msp_overlay</t>
        </is>
      </c>
      <c r="X6" t="b">
        <v>0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Kaiser Permanente</t>
        </is>
      </c>
      <c r="F7" s="22" t="n">
        <v>311.1</v>
      </c>
      <c r="G7" s="23" t="n">
        <v>104.139675</v>
      </c>
      <c r="H7" s="23" t="n">
        <v>120.2</v>
      </c>
      <c r="I7" s="23" t="n">
        <v>16.06032500000001</v>
      </c>
      <c r="J7" s="24" t="n">
        <v>1884.3786</v>
      </c>
      <c r="K7" s="24" t="n">
        <v>942.1893</v>
      </c>
      <c r="L7" s="24" t="n">
        <v>942.1893</v>
      </c>
      <c r="M7" s="25" t="n">
        <v>0.5</v>
      </c>
      <c r="N7" s="24" t="n">
        <v>2505.410700000001</v>
      </c>
      <c r="O7" s="24" t="n">
        <v>1563.221400000001</v>
      </c>
      <c r="P7" s="24" t="n">
        <v>586196.3502306241</v>
      </c>
      <c r="Q7" s="24" t="n">
        <v>293098.175115312</v>
      </c>
      <c r="R7" s="24" t="n">
        <v>486290.1113833531</v>
      </c>
      <c r="S7" s="24" t="n">
        <v>14068712.40553498</v>
      </c>
      <c r="T7" s="24" t="n">
        <v>11670962.67320048</v>
      </c>
      <c r="U7" t="inlineStr">
        <is>
          <t>target</t>
        </is>
      </c>
      <c r="V7" s="22" t="n">
        <v>0.95</v>
      </c>
      <c r="W7" t="inlineStr">
        <is>
          <t>hcris_nmrc_agency_per_hospital+msp_overlay</t>
        </is>
      </c>
      <c r="X7" t="b">
        <v>0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Kaiser Permanente</t>
        </is>
      </c>
      <c r="F8" s="22" t="n">
        <v>205</v>
      </c>
      <c r="G8" s="23" t="n">
        <v>86.50402499999998</v>
      </c>
      <c r="H8" s="23" t="n">
        <v>122.11</v>
      </c>
      <c r="I8" s="23" t="n">
        <v>35.60597500000002</v>
      </c>
      <c r="J8" s="24" t="n">
        <v>1595.5758</v>
      </c>
      <c r="K8" s="24" t="n">
        <v>797.7878999999999</v>
      </c>
      <c r="L8" s="24" t="n">
        <v>797.7878999999999</v>
      </c>
      <c r="M8" s="25" t="n">
        <v>0.5</v>
      </c>
      <c r="N8" s="24" t="n">
        <v>5554.532100000002</v>
      </c>
      <c r="O8" s="24" t="n">
        <v>4756.744200000003</v>
      </c>
      <c r="P8" s="24" t="n">
        <v>327038.1035412087</v>
      </c>
      <c r="Q8" s="24" t="n">
        <v>163519.0517706044</v>
      </c>
      <c r="R8" s="24" t="n">
        <v>974968.7869411438</v>
      </c>
      <c r="S8" s="24" t="n">
        <v>7848914.48498901</v>
      </c>
      <c r="T8" s="24" t="n">
        <v>23399250.88658745</v>
      </c>
      <c r="U8" t="inlineStr">
        <is>
          <t>target</t>
        </is>
      </c>
      <c r="V8" s="22" t="n">
        <v>0.95</v>
      </c>
      <c r="W8" t="inlineStr">
        <is>
          <t>hcris_nmrc_agency_per_hospital+msp_overlay</t>
        </is>
      </c>
      <c r="X8" t="b">
        <v>0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Kaiser Permanente</t>
        </is>
      </c>
      <c r="F9" s="22" t="n">
        <v>581.4</v>
      </c>
      <c r="G9" s="23" t="n">
        <v>88.224025</v>
      </c>
      <c r="H9" s="23" t="n">
        <v>121.84</v>
      </c>
      <c r="I9" s="23" t="n">
        <v>33.61597500000001</v>
      </c>
      <c r="J9" s="24" t="n">
        <v>1595.5758</v>
      </c>
      <c r="K9" s="24" t="n">
        <v>797.7878999999999</v>
      </c>
      <c r="L9" s="24" t="n">
        <v>797.7878999999999</v>
      </c>
      <c r="M9" s="25" t="n">
        <v>0.5</v>
      </c>
      <c r="N9" s="24" t="n">
        <v>5244.092100000001</v>
      </c>
      <c r="O9" s="24" t="n">
        <v>4446.304200000001</v>
      </c>
      <c r="P9" s="24" t="n">
        <v>927693.4648217089</v>
      </c>
      <c r="Q9" s="24" t="n">
        <v>463846.7324108544</v>
      </c>
      <c r="R9" s="24" t="n">
        <v>2585152.863906132</v>
      </c>
      <c r="S9" s="24" t="n">
        <v>22264643.15572101</v>
      </c>
      <c r="T9" s="24" t="n">
        <v>62043668.73374717</v>
      </c>
      <c r="U9" t="inlineStr">
        <is>
          <t>target</t>
        </is>
      </c>
      <c r="V9" s="22" t="n">
        <v>0.95</v>
      </c>
      <c r="W9" t="inlineStr">
        <is>
          <t>hcris_nmrc_agency_per_hospital+msp_overlay</t>
        </is>
      </c>
      <c r="X9" t="b">
        <v>0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Kaiser Permanente</t>
        </is>
      </c>
      <c r="F10" s="22" t="n">
        <v>398.8</v>
      </c>
      <c r="G10" s="23" t="n">
        <v>89.474025</v>
      </c>
      <c r="H10" s="23" t="n">
        <v>120.2</v>
      </c>
      <c r="I10" s="23" t="n">
        <v>30.72597500000001</v>
      </c>
      <c r="J10" s="24" t="n">
        <v>1595.5758</v>
      </c>
      <c r="K10" s="24" t="n">
        <v>797.7878999999999</v>
      </c>
      <c r="L10" s="24" t="n">
        <v>797.7878999999999</v>
      </c>
      <c r="M10" s="25" t="n">
        <v>0.5</v>
      </c>
      <c r="N10" s="24" t="n">
        <v>4793.252100000001</v>
      </c>
      <c r="O10" s="24" t="n">
        <v>3995.464200000001</v>
      </c>
      <c r="P10" s="24" t="n">
        <v>636391.6552758818</v>
      </c>
      <c r="Q10" s="24" t="n">
        <v>318195.8276379409</v>
      </c>
      <c r="R10" s="24" t="n">
        <v>1593581.499439593</v>
      </c>
      <c r="S10" s="24" t="n">
        <v>15273399.72662116</v>
      </c>
      <c r="T10" s="24" t="n">
        <v>38245955.98655023</v>
      </c>
      <c r="U10" t="inlineStr">
        <is>
          <t>target</t>
        </is>
      </c>
      <c r="V10" s="22" t="n">
        <v>0.95</v>
      </c>
      <c r="W10" t="inlineStr">
        <is>
          <t>hcris_nmrc_agency_per_hospital+msp_overlay</t>
        </is>
      </c>
      <c r="X10" t="b">
        <v>0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Kaiser Permanente</t>
        </is>
      </c>
      <c r="F11" s="22" t="n">
        <v>727.9</v>
      </c>
      <c r="G11" s="23" t="n">
        <v>83.20065</v>
      </c>
      <c r="H11" s="23" t="n">
        <v>116.42</v>
      </c>
      <c r="I11" s="23" t="n">
        <v>33.21935000000001</v>
      </c>
      <c r="J11" s="24" t="n">
        <v>1482.2028</v>
      </c>
      <c r="K11" s="24" t="n">
        <v>741.1014</v>
      </c>
      <c r="L11" s="24" t="n">
        <v>741.1014</v>
      </c>
      <c r="M11" s="25" t="n">
        <v>0.5</v>
      </c>
      <c r="N11" s="24" t="n">
        <v>5182.218600000001</v>
      </c>
      <c r="O11" s="24" t="n">
        <v>4441.117200000002</v>
      </c>
      <c r="P11" s="24" t="n">
        <v>1078946.222734891</v>
      </c>
      <c r="Q11" s="24" t="n">
        <v>539473.1113674454</v>
      </c>
      <c r="R11" s="24" t="n">
        <v>3232841.435505962</v>
      </c>
      <c r="S11" s="24" t="n">
        <v>25894709.34563738</v>
      </c>
      <c r="T11" s="24" t="n">
        <v>77588194.4521431</v>
      </c>
      <c r="U11" t="inlineStr">
        <is>
          <t>target</t>
        </is>
      </c>
      <c r="V11" s="22" t="n">
        <v>0.95</v>
      </c>
      <c r="W11" t="inlineStr">
        <is>
          <t>hcris_nmrc_agency_per_hospital+msp_overlay</t>
        </is>
      </c>
      <c r="X11" t="b">
        <v>0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Kaiser Permanente</t>
        </is>
      </c>
      <c r="F12" s="22" t="n">
        <v>293.1</v>
      </c>
      <c r="G12" s="23" t="n">
        <v>88.79402499999999</v>
      </c>
      <c r="H12" s="23" t="n">
        <v>119.09</v>
      </c>
      <c r="I12" s="23" t="n">
        <v>30.29597500000001</v>
      </c>
      <c r="J12" s="24" t="n">
        <v>1595.5758</v>
      </c>
      <c r="K12" s="24" t="n">
        <v>797.7878999999999</v>
      </c>
      <c r="L12" s="24" t="n">
        <v>797.7878999999999</v>
      </c>
      <c r="M12" s="25" t="n">
        <v>0.5</v>
      </c>
      <c r="N12" s="24" t="n">
        <v>4726.172100000002</v>
      </c>
      <c r="O12" s="24" t="n">
        <v>3928.384200000002</v>
      </c>
      <c r="P12" s="24" t="n">
        <v>467656.8802245193</v>
      </c>
      <c r="Q12" s="24" t="n">
        <v>233828.4401122596</v>
      </c>
      <c r="R12" s="24" t="n">
        <v>1151393.684521472</v>
      </c>
      <c r="S12" s="24" t="n">
        <v>11223765.12538846</v>
      </c>
      <c r="T12" s="24" t="n">
        <v>27633448.42851533</v>
      </c>
      <c r="U12" t="inlineStr">
        <is>
          <t>target</t>
        </is>
      </c>
      <c r="V12" s="22" t="n">
        <v>0.95</v>
      </c>
      <c r="W12" t="inlineStr">
        <is>
          <t>hcris_nmrc_agency_per_hospital+msp_overlay</t>
        </is>
      </c>
      <c r="X12" t="b">
        <v>0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Kaiser Permanente</t>
        </is>
      </c>
      <c r="F13" s="22" t="n">
        <v>405</v>
      </c>
      <c r="G13" s="23" t="n">
        <v>96.838925</v>
      </c>
      <c r="H13" s="23" t="n">
        <v>126.44</v>
      </c>
      <c r="I13" s="23" t="n">
        <v>29.60107499999999</v>
      </c>
      <c r="J13" s="24" t="n">
        <v>1753.1046</v>
      </c>
      <c r="K13" s="24" t="n">
        <v>876.5522999999999</v>
      </c>
      <c r="L13" s="24" t="n">
        <v>876.5522999999999</v>
      </c>
      <c r="M13" s="25" t="n">
        <v>0.5</v>
      </c>
      <c r="N13" s="24" t="n">
        <v>4617.767699999999</v>
      </c>
      <c r="O13" s="24" t="n">
        <v>3741.2154</v>
      </c>
      <c r="P13" s="24" t="n">
        <v>710024.7103866102</v>
      </c>
      <c r="Q13" s="24" t="n">
        <v>355012.3551933051</v>
      </c>
      <c r="R13" s="24" t="n">
        <v>1515229.257215414</v>
      </c>
      <c r="S13" s="24" t="n">
        <v>17040593.04927865</v>
      </c>
      <c r="T13" s="24" t="n">
        <v>36365502.17316995</v>
      </c>
      <c r="U13" t="inlineStr">
        <is>
          <t>target</t>
        </is>
      </c>
      <c r="V13" s="22" t="n">
        <v>0.95</v>
      </c>
      <c r="W13" t="inlineStr">
        <is>
          <t>hcris_nmrc_agency_per_hospital+msp_overlay</t>
        </is>
      </c>
      <c r="X13" t="b">
        <v>0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Kaiser Permanente</t>
        </is>
      </c>
      <c r="F14" s="22" t="n">
        <v>145.6</v>
      </c>
      <c r="G14" s="23" t="n">
        <v>103.509675</v>
      </c>
      <c r="H14" s="23" t="n">
        <v>128.56</v>
      </c>
      <c r="I14" s="23" t="n">
        <v>25.050325</v>
      </c>
      <c r="J14" s="24" t="n">
        <v>1884.3786</v>
      </c>
      <c r="K14" s="24" t="n">
        <v>942.1893</v>
      </c>
      <c r="L14" s="24" t="n">
        <v>942.1893</v>
      </c>
      <c r="M14" s="25" t="n">
        <v>0.5</v>
      </c>
      <c r="N14" s="24" t="n">
        <v>3907.8507</v>
      </c>
      <c r="O14" s="24" t="n">
        <v>2965.6614</v>
      </c>
      <c r="P14" s="24" t="n">
        <v>274379.8401065106</v>
      </c>
      <c r="Q14" s="24" t="n">
        <v>137189.9200532553</v>
      </c>
      <c r="R14" s="24" t="n">
        <v>431822.8304768746</v>
      </c>
      <c r="S14" s="24" t="n">
        <v>6585116.162556254</v>
      </c>
      <c r="T14" s="24" t="n">
        <v>10363747.93144499</v>
      </c>
      <c r="U14" t="inlineStr">
        <is>
          <t>target</t>
        </is>
      </c>
      <c r="V14" s="22" t="n">
        <v>0.95</v>
      </c>
      <c r="W14" t="inlineStr">
        <is>
          <t>hcris_nmrc_agency_per_hospital+msp_overlay</t>
        </is>
      </c>
      <c r="X14" t="b">
        <v>0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Kaiser Permanente</t>
        </is>
      </c>
      <c r="F15" s="22" t="n">
        <v>165.2</v>
      </c>
      <c r="G15" s="23" t="n">
        <v>106.449675</v>
      </c>
      <c r="H15" s="23" t="n">
        <v>129.93</v>
      </c>
      <c r="I15" s="23" t="n">
        <v>23.48032500000001</v>
      </c>
      <c r="J15" s="24" t="n">
        <v>1884.3786</v>
      </c>
      <c r="K15" s="24" t="n">
        <v>942.1893</v>
      </c>
      <c r="L15" s="24" t="n">
        <v>942.1893</v>
      </c>
      <c r="M15" s="25" t="n">
        <v>0.5</v>
      </c>
      <c r="N15" s="24" t="n">
        <v>3662.930700000001</v>
      </c>
      <c r="O15" s="24" t="n">
        <v>2720.741400000001</v>
      </c>
      <c r="P15" s="24" t="n">
        <v>311215.3130524821</v>
      </c>
      <c r="Q15" s="24" t="n">
        <v>155607.6565262411</v>
      </c>
      <c r="R15" s="24" t="n">
        <v>449345.1509881553</v>
      </c>
      <c r="S15" s="24" t="n">
        <v>7469167.513259571</v>
      </c>
      <c r="T15" s="24" t="n">
        <v>10784283.62371573</v>
      </c>
      <c r="U15" t="inlineStr">
        <is>
          <t>target</t>
        </is>
      </c>
      <c r="V15" s="22" t="n">
        <v>0.95</v>
      </c>
      <c r="W15" t="inlineStr">
        <is>
          <t>hcris_nmrc_agency_per_hospital+msp_overlay</t>
        </is>
      </c>
      <c r="X15" t="b">
        <v>0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Kaiser Permanente</t>
        </is>
      </c>
      <c r="F16" s="22" t="n">
        <v>611.1</v>
      </c>
      <c r="G16" s="23" t="n">
        <v>86.0778</v>
      </c>
      <c r="H16" s="23" t="n">
        <v>116.79</v>
      </c>
      <c r="I16" s="23" t="n">
        <v>30.71220000000001</v>
      </c>
      <c r="J16" s="24" t="n">
        <v>1556.1936</v>
      </c>
      <c r="K16" s="24" t="n">
        <v>778.0967999999999</v>
      </c>
      <c r="L16" s="24" t="n">
        <v>778.0967999999999</v>
      </c>
      <c r="M16" s="25" t="n">
        <v>0.5</v>
      </c>
      <c r="N16" s="24" t="n">
        <v>4791.103200000001</v>
      </c>
      <c r="O16" s="24" t="n">
        <v>4013.006400000002</v>
      </c>
      <c r="P16" s="24" t="n">
        <v>951039.2698585151</v>
      </c>
      <c r="Q16" s="24" t="n">
        <v>475519.6349292576</v>
      </c>
      <c r="R16" s="24" t="n">
        <v>2452475.4995738</v>
      </c>
      <c r="S16" s="24" t="n">
        <v>22824942.47660436</v>
      </c>
      <c r="T16" s="24" t="n">
        <v>58859411.98977121</v>
      </c>
      <c r="U16" t="inlineStr">
        <is>
          <t>target</t>
        </is>
      </c>
      <c r="V16" s="22" t="n">
        <v>0.95</v>
      </c>
      <c r="W16" t="inlineStr">
        <is>
          <t>hcris_nmrc_agency_per_hospital+msp_overlay</t>
        </is>
      </c>
      <c r="X16" t="b">
        <v>0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Kaiser Permanente</t>
        </is>
      </c>
      <c r="F17" s="22" t="n">
        <v>208</v>
      </c>
      <c r="G17" s="23" t="n">
        <v>104.349675</v>
      </c>
      <c r="H17" s="23" t="n">
        <v>128.37</v>
      </c>
      <c r="I17" s="23" t="n">
        <v>24.020325</v>
      </c>
      <c r="J17" s="24" t="n">
        <v>1884.3786</v>
      </c>
      <c r="K17" s="24" t="n">
        <v>942.1893</v>
      </c>
      <c r="L17" s="24" t="n">
        <v>942.1893</v>
      </c>
      <c r="M17" s="25" t="n">
        <v>0.5</v>
      </c>
      <c r="N17" s="24" t="n">
        <v>3747.1707</v>
      </c>
      <c r="O17" s="24" t="n">
        <v>2804.981400000001</v>
      </c>
      <c r="P17" s="24" t="n">
        <v>391968.5389527694</v>
      </c>
      <c r="Q17" s="24" t="n">
        <v>195984.2694763847</v>
      </c>
      <c r="R17" s="24" t="n">
        <v>583462.6126340503</v>
      </c>
      <c r="S17" s="24" t="n">
        <v>9407244.934866466</v>
      </c>
      <c r="T17" s="24" t="n">
        <v>14003102.70321721</v>
      </c>
      <c r="U17" t="inlineStr">
        <is>
          <t>target</t>
        </is>
      </c>
      <c r="V17" s="22" t="n">
        <v>0.95</v>
      </c>
      <c r="W17" t="inlineStr">
        <is>
          <t>hcris_nmrc_agency_per_hospital+msp_overlay</t>
        </is>
      </c>
      <c r="X17" t="b">
        <v>0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Kaiser Permanente</t>
        </is>
      </c>
      <c r="F18" s="22" t="n">
        <v>235.7</v>
      </c>
      <c r="G18" s="23" t="n">
        <v>88.90402499999999</v>
      </c>
      <c r="H18" s="23" t="n">
        <v>117.32</v>
      </c>
      <c r="I18" s="23" t="n">
        <v>28.415975</v>
      </c>
      <c r="J18" s="24" t="n">
        <v>1595.5758</v>
      </c>
      <c r="K18" s="24" t="n">
        <v>797.7878999999999</v>
      </c>
      <c r="L18" s="24" t="n">
        <v>797.7878999999999</v>
      </c>
      <c r="M18" s="25" t="n">
        <v>0.5</v>
      </c>
      <c r="N18" s="24" t="n">
        <v>4432.892100000001</v>
      </c>
      <c r="O18" s="24" t="n">
        <v>3635.104200000002</v>
      </c>
      <c r="P18" s="24" t="n">
        <v>376047.0529023866</v>
      </c>
      <c r="Q18" s="24" t="n">
        <v>188023.5264511933</v>
      </c>
      <c r="R18" s="24" t="n">
        <v>856725.3410355613</v>
      </c>
      <c r="S18" s="24" t="n">
        <v>9025129.26965728</v>
      </c>
      <c r="T18" s="24" t="n">
        <v>20561408.18485347</v>
      </c>
      <c r="U18" t="inlineStr">
        <is>
          <t>target</t>
        </is>
      </c>
      <c r="V18" s="22" t="n">
        <v>0.95</v>
      </c>
      <c r="W18" t="inlineStr">
        <is>
          <t>hcris_nmrc_agency_per_hospital+msp_overlay</t>
        </is>
      </c>
      <c r="X18" t="b">
        <v>0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Kaiser Permanente</t>
        </is>
      </c>
      <c r="F19" s="22" t="n">
        <v>310.6</v>
      </c>
      <c r="G19" s="23" t="n">
        <v>107.80169</v>
      </c>
      <c r="H19" s="23" t="n">
        <v>121.62</v>
      </c>
      <c r="I19" s="23" t="n">
        <v>13.81831000000001</v>
      </c>
      <c r="J19" s="24" t="n">
        <v>1944.28728</v>
      </c>
      <c r="K19" s="24" t="n">
        <v>972.1436399999999</v>
      </c>
      <c r="L19" s="24" t="n">
        <v>972.1436399999999</v>
      </c>
      <c r="M19" s="25" t="n">
        <v>0.5</v>
      </c>
      <c r="N19" s="24" t="n">
        <v>2155.656360000002</v>
      </c>
      <c r="O19" s="24" t="n">
        <v>1183.512720000002</v>
      </c>
      <c r="P19" s="24" t="n">
        <v>603890.6966946719</v>
      </c>
      <c r="Q19" s="24" t="n">
        <v>301945.3483473359</v>
      </c>
      <c r="R19" s="24" t="n">
        <v>367596.0483719296</v>
      </c>
      <c r="S19" s="24" t="n">
        <v>14493376.72067213</v>
      </c>
      <c r="T19" s="24" t="n">
        <v>8822305.16092631</v>
      </c>
      <c r="U19" t="inlineStr">
        <is>
          <t>target</t>
        </is>
      </c>
      <c r="V19" s="22" t="n">
        <v>0.95</v>
      </c>
      <c r="W19" t="inlineStr">
        <is>
          <t>hcris_nmrc_agency_per_hospital+msp_overlay</t>
        </is>
      </c>
      <c r="X19" t="b">
        <v>0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Kaiser Permanente</t>
        </is>
      </c>
      <c r="F20" s="22" t="n">
        <v>476.3</v>
      </c>
      <c r="G20" s="23" t="n">
        <v>89.43402499999999</v>
      </c>
      <c r="H20" s="23" t="n">
        <v>118.53</v>
      </c>
      <c r="I20" s="23" t="n">
        <v>29.09597500000001</v>
      </c>
      <c r="J20" s="24" t="n">
        <v>1595.5758</v>
      </c>
      <c r="K20" s="24" t="n">
        <v>797.7878999999999</v>
      </c>
      <c r="L20" s="24" t="n">
        <v>797.7878999999999</v>
      </c>
      <c r="M20" s="25" t="n">
        <v>0.5</v>
      </c>
      <c r="N20" s="24" t="n">
        <v>4538.972100000002</v>
      </c>
      <c r="O20" s="24" t="n">
        <v>3741.184200000002</v>
      </c>
      <c r="P20" s="24" t="n">
        <v>760045.0907829157</v>
      </c>
      <c r="Q20" s="24" t="n">
        <v>380022.5453914579</v>
      </c>
      <c r="R20" s="24" t="n">
        <v>1782095.64529909</v>
      </c>
      <c r="S20" s="24" t="n">
        <v>18241082.17878998</v>
      </c>
      <c r="T20" s="24" t="n">
        <v>42770295.48717816</v>
      </c>
      <c r="U20" t="inlineStr">
        <is>
          <t>target</t>
        </is>
      </c>
      <c r="V20" s="22" t="n">
        <v>0.95</v>
      </c>
      <c r="W20" t="inlineStr">
        <is>
          <t>hcris_nmrc_agency_per_hospital+msp_overlay</t>
        </is>
      </c>
      <c r="X20" t="b">
        <v>0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Kaiser Permanente</t>
        </is>
      </c>
      <c r="F21" s="22" t="n">
        <v>436.8</v>
      </c>
      <c r="G21" s="23" t="n">
        <v>97.73892500000001</v>
      </c>
      <c r="H21" s="23" t="n">
        <v>131.03</v>
      </c>
      <c r="I21" s="23" t="n">
        <v>33.29107499999999</v>
      </c>
      <c r="J21" s="24" t="n">
        <v>1753.1046</v>
      </c>
      <c r="K21" s="24" t="n">
        <v>876.5522999999999</v>
      </c>
      <c r="L21" s="24" t="n">
        <v>876.5522999999999</v>
      </c>
      <c r="M21" s="25" t="n">
        <v>0.5</v>
      </c>
      <c r="N21" s="24" t="n">
        <v>5193.407699999999</v>
      </c>
      <c r="O21" s="24" t="n">
        <v>4316.855399999999</v>
      </c>
      <c r="P21" s="24" t="n">
        <v>765669.3525982219</v>
      </c>
      <c r="Q21" s="24" t="n">
        <v>382834.6762991109</v>
      </c>
      <c r="R21" s="24" t="n">
        <v>1885388.857788712</v>
      </c>
      <c r="S21" s="24" t="n">
        <v>18376064.46235732</v>
      </c>
      <c r="T21" s="24" t="n">
        <v>45249332.5869291</v>
      </c>
      <c r="U21" t="inlineStr">
        <is>
          <t>target</t>
        </is>
      </c>
      <c r="V21" s="22" t="n">
        <v>0.95</v>
      </c>
      <c r="W21" t="inlineStr">
        <is>
          <t>hcris_nmrc_agency_per_hospital+msp_overlay</t>
        </is>
      </c>
      <c r="X21" t="b">
        <v>0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Kaiser Permanente</t>
        </is>
      </c>
      <c r="F22" s="22" t="n">
        <v>234.5</v>
      </c>
      <c r="G22" s="23" t="n">
        <v>89.584025</v>
      </c>
      <c r="H22" s="23" t="n">
        <v>116.85</v>
      </c>
      <c r="I22" s="23" t="n">
        <v>27.265975</v>
      </c>
      <c r="J22" s="24" t="n">
        <v>1595.5758</v>
      </c>
      <c r="K22" s="24" t="n">
        <v>797.7878999999999</v>
      </c>
      <c r="L22" s="24" t="n">
        <v>797.7878999999999</v>
      </c>
      <c r="M22" s="25" t="n">
        <v>0.5</v>
      </c>
      <c r="N22" s="24" t="n">
        <v>4253.492099999999</v>
      </c>
      <c r="O22" s="24" t="n">
        <v>3455.7042</v>
      </c>
      <c r="P22" s="24" t="n">
        <v>374216.2676600257</v>
      </c>
      <c r="Q22" s="24" t="n">
        <v>187108.1338300128</v>
      </c>
      <c r="R22" s="24" t="n">
        <v>810479.0307430554</v>
      </c>
      <c r="S22" s="24" t="n">
        <v>8981190.423840618</v>
      </c>
      <c r="T22" s="24" t="n">
        <v>19451496.73783333</v>
      </c>
      <c r="U22" t="inlineStr">
        <is>
          <t>target</t>
        </is>
      </c>
      <c r="V22" s="22" t="n">
        <v>0.95</v>
      </c>
      <c r="W22" t="inlineStr">
        <is>
          <t>hcris_nmrc_agency_per_hospital+msp_overlay</t>
        </is>
      </c>
      <c r="X22" t="b">
        <v>0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Kaiser Permanente</t>
        </is>
      </c>
      <c r="F23" s="22" t="n">
        <v>240.7</v>
      </c>
      <c r="G23" s="23" t="n">
        <v>81.38065</v>
      </c>
      <c r="H23" s="23" t="n">
        <v>111.66</v>
      </c>
      <c r="I23" s="23" t="n">
        <v>30.27934999999999</v>
      </c>
      <c r="J23" s="24" t="n">
        <v>1482.2028</v>
      </c>
      <c r="K23" s="24" t="n">
        <v>741.1014</v>
      </c>
      <c r="L23" s="24" t="n">
        <v>741.1014</v>
      </c>
      <c r="M23" s="25" t="n">
        <v>0.5</v>
      </c>
      <c r="N23" s="24" t="n">
        <v>4723.578599999999</v>
      </c>
      <c r="O23" s="24" t="n">
        <v>3982.477199999998</v>
      </c>
      <c r="P23" s="24" t="n">
        <v>356734.875496991</v>
      </c>
      <c r="Q23" s="24" t="n">
        <v>178367.4377484955</v>
      </c>
      <c r="R23" s="24" t="n">
        <v>958498.0598549703</v>
      </c>
      <c r="S23" s="24" t="n">
        <v>8561637.011927783</v>
      </c>
      <c r="T23" s="24" t="n">
        <v>23003953.43651929</v>
      </c>
      <c r="U23" t="inlineStr">
        <is>
          <t>target</t>
        </is>
      </c>
      <c r="V23" s="22" t="n">
        <v>0.95</v>
      </c>
      <c r="W23" t="inlineStr">
        <is>
          <t>hcris_nmrc_agency_per_hospital+msp_overlay</t>
        </is>
      </c>
      <c r="X23" t="b">
        <v>0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Kaiser Permanente</t>
        </is>
      </c>
      <c r="F24" s="22" t="n">
        <v>230.1</v>
      </c>
      <c r="G24" s="23" t="n">
        <v>87.08517500000001</v>
      </c>
      <c r="H24" s="23" t="n">
        <v>120.51</v>
      </c>
      <c r="I24" s="23" t="n">
        <v>33.424825</v>
      </c>
      <c r="J24" s="24" t="n">
        <v>1574.0946</v>
      </c>
      <c r="K24" s="24" t="n">
        <v>787.0473000000001</v>
      </c>
      <c r="L24" s="24" t="n">
        <v>787.0473000000001</v>
      </c>
      <c r="M24" s="25" t="n">
        <v>0.5</v>
      </c>
      <c r="N24" s="24" t="n">
        <v>5214.2727</v>
      </c>
      <c r="O24" s="24" t="n">
        <v>4427.225399999999</v>
      </c>
      <c r="P24" s="24" t="n">
        <v>362185.0022865572</v>
      </c>
      <c r="Q24" s="24" t="n">
        <v>181092.5011432786</v>
      </c>
      <c r="R24" s="24" t="n">
        <v>1018664.724230744</v>
      </c>
      <c r="S24" s="24" t="n">
        <v>8692440.054877372</v>
      </c>
      <c r="T24" s="24" t="n">
        <v>24447953.38153786</v>
      </c>
      <c r="U24" t="inlineStr">
        <is>
          <t>target</t>
        </is>
      </c>
      <c r="V24" s="22" t="n">
        <v>0.95</v>
      </c>
      <c r="W24" t="inlineStr">
        <is>
          <t>hcris_nmrc_agency_per_hospital+msp_overlay</t>
        </is>
      </c>
      <c r="X24" t="b">
        <v>0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Kaiser Permanente</t>
        </is>
      </c>
      <c r="F25" s="22" t="n">
        <v>199</v>
      </c>
      <c r="G25" s="23" t="n">
        <v>82.428575</v>
      </c>
      <c r="H25" s="23" t="n">
        <v>120.61</v>
      </c>
      <c r="I25" s="23" t="n">
        <v>38.181425</v>
      </c>
      <c r="J25" s="24" t="n">
        <v>1469.0754</v>
      </c>
      <c r="K25" s="24" t="n">
        <v>734.5376999999999</v>
      </c>
      <c r="L25" s="24" t="n">
        <v>734.5376999999999</v>
      </c>
      <c r="M25" s="25" t="n">
        <v>0.5</v>
      </c>
      <c r="N25" s="24" t="n">
        <v>5956.3023</v>
      </c>
      <c r="O25" s="24" t="n">
        <v>5221.7646</v>
      </c>
      <c r="P25" s="24" t="n">
        <v>292385.4268621258</v>
      </c>
      <c r="Q25" s="24" t="n">
        <v>146192.7134310629</v>
      </c>
      <c r="R25" s="24" t="n">
        <v>1039271.280115737</v>
      </c>
      <c r="S25" s="24" t="n">
        <v>7017250.244691019</v>
      </c>
      <c r="T25" s="24" t="n">
        <v>24942510.72277768</v>
      </c>
      <c r="U25" t="inlineStr">
        <is>
          <t>target</t>
        </is>
      </c>
      <c r="V25" s="22" t="n">
        <v>0.95</v>
      </c>
      <c r="W25" t="inlineStr">
        <is>
          <t>hcris_nmrc_agency_per_hospital+msp_overlay</t>
        </is>
      </c>
      <c r="X25" t="b">
        <v>0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Kaiser Permanente</t>
        </is>
      </c>
      <c r="F26" s="22" t="n">
        <v>311.7</v>
      </c>
      <c r="G26" s="23" t="n">
        <v>88.95402499999999</v>
      </c>
      <c r="H26" s="23" t="n">
        <v>120.45</v>
      </c>
      <c r="I26" s="23" t="n">
        <v>31.49597500000002</v>
      </c>
      <c r="J26" s="24" t="n">
        <v>1595.5758</v>
      </c>
      <c r="K26" s="24" t="n">
        <v>797.7878999999999</v>
      </c>
      <c r="L26" s="24" t="n">
        <v>797.7878999999999</v>
      </c>
      <c r="M26" s="25" t="n">
        <v>0.5</v>
      </c>
      <c r="N26" s="24" t="n">
        <v>4913.372100000002</v>
      </c>
      <c r="O26" s="24" t="n">
        <v>4115.584200000003</v>
      </c>
      <c r="P26" s="24" t="n">
        <v>497292.9368682441</v>
      </c>
      <c r="Q26" s="24" t="n">
        <v>248646.468434122</v>
      </c>
      <c r="R26" s="24" t="n">
        <v>1282703.682110586</v>
      </c>
      <c r="S26" s="24" t="n">
        <v>11935030.48483786</v>
      </c>
      <c r="T26" s="24" t="n">
        <v>30784888.37065407</v>
      </c>
      <c r="U26" t="inlineStr">
        <is>
          <t>target</t>
        </is>
      </c>
      <c r="V26" s="22" t="n">
        <v>0.95</v>
      </c>
      <c r="W26" t="inlineStr">
        <is>
          <t>hcris_nmrc_agency_per_hospital+msp_overlay</t>
        </is>
      </c>
      <c r="X26" t="b">
        <v>0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Kaiser Permanente</t>
        </is>
      </c>
      <c r="F27" s="22" t="n">
        <v>335.7</v>
      </c>
      <c r="G27" s="23" t="n">
        <v>88.30369999999999</v>
      </c>
      <c r="H27" s="23" t="n">
        <v>123.99</v>
      </c>
      <c r="I27" s="23" t="n">
        <v>35.6863</v>
      </c>
      <c r="J27" s="24" t="n">
        <v>1570.5144</v>
      </c>
      <c r="K27" s="24" t="n">
        <v>785.2571999999999</v>
      </c>
      <c r="L27" s="24" t="n">
        <v>785.2571999999999</v>
      </c>
      <c r="M27" s="25" t="n">
        <v>0.5</v>
      </c>
      <c r="N27" s="24" t="n">
        <v>5567.062800000001</v>
      </c>
      <c r="O27" s="24" t="n">
        <v>4781.805600000001</v>
      </c>
      <c r="P27" s="24" t="n">
        <v>527190.2430027582</v>
      </c>
      <c r="Q27" s="24" t="n">
        <v>263595.1215013791</v>
      </c>
      <c r="R27" s="24" t="n">
        <v>1605156.410062812</v>
      </c>
      <c r="S27" s="24" t="n">
        <v>12652565.8320662</v>
      </c>
      <c r="T27" s="24" t="n">
        <v>38523753.84150749</v>
      </c>
      <c r="U27" t="inlineStr">
        <is>
          <t>target</t>
        </is>
      </c>
      <c r="V27" s="22" t="n">
        <v>0.95</v>
      </c>
      <c r="W27" t="inlineStr">
        <is>
          <t>hcris_nmrc_agency_per_hospital+msp_overlay</t>
        </is>
      </c>
      <c r="X27" t="b">
        <v>0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Kaiser Permanente</t>
        </is>
      </c>
      <c r="F28" s="22" t="n">
        <v>209.4</v>
      </c>
      <c r="G28" s="23" t="n">
        <v>106.109675</v>
      </c>
      <c r="H28" s="23" t="n">
        <v>127.73</v>
      </c>
      <c r="I28" s="23" t="n">
        <v>21.62032499999999</v>
      </c>
      <c r="J28" s="24" t="n">
        <v>1884.3786</v>
      </c>
      <c r="K28" s="24" t="n">
        <v>942.1893</v>
      </c>
      <c r="L28" s="24" t="n">
        <v>942.1893</v>
      </c>
      <c r="M28" s="25" t="n">
        <v>0.5</v>
      </c>
      <c r="N28" s="24" t="n">
        <v>3372.770699999999</v>
      </c>
      <c r="O28" s="24" t="n">
        <v>2430.581399999999</v>
      </c>
      <c r="P28" s="24" t="n">
        <v>394522.3991967823</v>
      </c>
      <c r="Q28" s="24" t="n">
        <v>197261.1995983912</v>
      </c>
      <c r="R28" s="24" t="n">
        <v>508877.9958396225</v>
      </c>
      <c r="S28" s="24" t="n">
        <v>9468537.580722775</v>
      </c>
      <c r="T28" s="24" t="n">
        <v>12213071.90015094</v>
      </c>
      <c r="U28" t="inlineStr">
        <is>
          <t>target</t>
        </is>
      </c>
      <c r="V28" s="22" t="n">
        <v>0.95</v>
      </c>
      <c r="W28" t="inlineStr">
        <is>
          <t>hcris_nmrc_agency_per_hospital+msp_overlay</t>
        </is>
      </c>
      <c r="X28" t="b">
        <v>0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Kaiser Permanente</t>
        </is>
      </c>
      <c r="F29" s="22" t="n">
        <v>167</v>
      </c>
      <c r="G29" s="23" t="n">
        <v>86.02065000000002</v>
      </c>
      <c r="H29" s="23" t="n">
        <v>113.7</v>
      </c>
      <c r="I29" s="23" t="n">
        <v>27.67934999999999</v>
      </c>
      <c r="J29" s="24" t="n">
        <v>1482.2028</v>
      </c>
      <c r="K29" s="24" t="n">
        <v>741.1014</v>
      </c>
      <c r="L29" s="24" t="n">
        <v>741.1014</v>
      </c>
      <c r="M29" s="25" t="n">
        <v>0.5</v>
      </c>
      <c r="N29" s="24" t="n">
        <v>4317.978599999998</v>
      </c>
      <c r="O29" s="24" t="n">
        <v>3576.877199999998</v>
      </c>
      <c r="P29" s="24" t="n">
        <v>247480.3109612137</v>
      </c>
      <c r="Q29" s="24" t="n">
        <v>123740.1554806069</v>
      </c>
      <c r="R29" s="24" t="n">
        <v>597223.7279042213</v>
      </c>
      <c r="S29" s="24" t="n">
        <v>5939527.46306913</v>
      </c>
      <c r="T29" s="24" t="n">
        <v>14333369.46970131</v>
      </c>
      <c r="U29" t="inlineStr">
        <is>
          <t>target</t>
        </is>
      </c>
      <c r="V29" s="22" t="n">
        <v>0.95</v>
      </c>
      <c r="W29" t="inlineStr">
        <is>
          <t>hcris_nmrc_agency_per_hospital+msp_overlay</t>
        </is>
      </c>
      <c r="X29" t="b">
        <v>0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Kaiser Permanente</t>
        </is>
      </c>
      <c r="F30" s="22" t="n">
        <v>160.9</v>
      </c>
      <c r="G30" s="23" t="n">
        <v>160.9305819230769</v>
      </c>
      <c r="H30" s="23" t="n">
        <v>160.9305819230769</v>
      </c>
      <c r="I30" s="23" t="n">
        <v>0</v>
      </c>
      <c r="J30" s="24" t="n">
        <v>0</v>
      </c>
      <c r="K30" s="24" t="n">
        <v>1226.25078</v>
      </c>
      <c r="L30" s="24" t="n">
        <v>-1226.25078</v>
      </c>
      <c r="M30" s="25" t="n">
        <v>0</v>
      </c>
      <c r="N30" s="24" t="n">
        <v>0</v>
      </c>
      <c r="O30" s="24" t="n">
        <v>1226.25078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t="inlineStr">
        <is>
          <t>manual_review</t>
        </is>
      </c>
      <c r="V30" s="22" t="n">
        <v>0.95</v>
      </c>
      <c r="W30" t="inlineStr">
        <is>
          <t>hcris_nmrc_agency_per_hospital+msp_overlay</t>
        </is>
      </c>
      <c r="X30" t="b">
        <v>1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Kaiser Permanente</t>
        </is>
      </c>
      <c r="F31" s="22" t="n">
        <v>504.7</v>
      </c>
      <c r="G31" s="23" t="n">
        <v>97.998925</v>
      </c>
      <c r="H31" s="23" t="n">
        <v>137.88</v>
      </c>
      <c r="I31" s="23" t="n">
        <v>39.881075</v>
      </c>
      <c r="J31" s="24" t="n">
        <v>1753.1046</v>
      </c>
      <c r="K31" s="24" t="n">
        <v>876.5522999999999</v>
      </c>
      <c r="L31" s="24" t="n">
        <v>876.5522999999999</v>
      </c>
      <c r="M31" s="25" t="n">
        <v>0.5</v>
      </c>
      <c r="N31" s="24" t="n">
        <v>6221.4477</v>
      </c>
      <c r="O31" s="24" t="n">
        <v>5344.8954</v>
      </c>
      <c r="P31" s="24" t="n">
        <v>884754.7519439295</v>
      </c>
      <c r="Q31" s="24" t="n">
        <v>442377.3759719647</v>
      </c>
      <c r="R31" s="24" t="n">
        <v>2697455.47629802</v>
      </c>
      <c r="S31" s="24" t="n">
        <v>21234114.04665431</v>
      </c>
      <c r="T31" s="24" t="n">
        <v>64738931.43115249</v>
      </c>
      <c r="U31" t="inlineStr">
        <is>
          <t>target</t>
        </is>
      </c>
      <c r="V31" s="22" t="n">
        <v>0.95</v>
      </c>
      <c r="W31" t="inlineStr">
        <is>
          <t>hcris_nmrc_agency_per_hospital+msp_overlay</t>
        </is>
      </c>
      <c r="X31" t="b">
        <v>0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Kaiser Permanente</t>
        </is>
      </c>
      <c r="F32" s="22" t="n">
        <v>278.8</v>
      </c>
      <c r="G32" s="23" t="n">
        <v>104.069675</v>
      </c>
      <c r="H32" s="23" t="n">
        <v>130.53</v>
      </c>
      <c r="I32" s="23" t="n">
        <v>26.460325</v>
      </c>
      <c r="J32" s="24" t="n">
        <v>1884.3786</v>
      </c>
      <c r="K32" s="24" t="n">
        <v>942.1893</v>
      </c>
      <c r="L32" s="24" t="n">
        <v>942.1893</v>
      </c>
      <c r="M32" s="25" t="n">
        <v>0.5</v>
      </c>
      <c r="N32" s="24" t="n">
        <v>4127.8107</v>
      </c>
      <c r="O32" s="24" t="n">
        <v>3185.6214</v>
      </c>
      <c r="P32" s="24" t="n">
        <v>525308.3274853597</v>
      </c>
      <c r="Q32" s="24" t="n">
        <v>262654.1637426799</v>
      </c>
      <c r="R32" s="24" t="n">
        <v>888055.8554610895</v>
      </c>
      <c r="S32" s="24" t="n">
        <v>12607399.85964863</v>
      </c>
      <c r="T32" s="24" t="n">
        <v>21313340.53106615</v>
      </c>
      <c r="U32" t="inlineStr">
        <is>
          <t>target</t>
        </is>
      </c>
      <c r="V32" s="22" t="n">
        <v>0.95</v>
      </c>
      <c r="W32" t="inlineStr">
        <is>
          <t>hcris_nmrc_agency_per_hospital+msp_overlay</t>
        </is>
      </c>
      <c r="X32" t="b">
        <v>0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Kaiser Permanente</t>
        </is>
      </c>
      <c r="F33" s="22" t="n">
        <v>30</v>
      </c>
      <c r="G33" s="23" t="n">
        <v>89.74780000000001</v>
      </c>
      <c r="H33" s="23" t="n">
        <v>114.95</v>
      </c>
      <c r="I33" s="23" t="n">
        <v>25.20219999999999</v>
      </c>
      <c r="J33" s="24" t="n">
        <v>1556.1936</v>
      </c>
      <c r="K33" s="24" t="n">
        <v>778.0967999999999</v>
      </c>
      <c r="L33" s="24" t="n">
        <v>778.0967999999999</v>
      </c>
      <c r="M33" s="25" t="n">
        <v>0.5</v>
      </c>
      <c r="N33" s="24" t="n">
        <v>3931.543199999999</v>
      </c>
      <c r="O33" s="24" t="n">
        <v>3153.446399999999</v>
      </c>
      <c r="P33" s="24" t="n">
        <v>46685.808</v>
      </c>
      <c r="Q33" s="24" t="n">
        <v>23342.904</v>
      </c>
      <c r="R33" s="24" t="n">
        <v>94603.39199999996</v>
      </c>
      <c r="S33" s="24" t="n">
        <v>1120459.392</v>
      </c>
      <c r="T33" s="24" t="n">
        <v>2270481.407999999</v>
      </c>
      <c r="U33" t="inlineStr">
        <is>
          <t>target</t>
        </is>
      </c>
      <c r="V33" s="22" t="n">
        <v>0.95</v>
      </c>
      <c r="W33" t="inlineStr">
        <is>
          <t>hcris_nmrc_agency_only+msp_overlay</t>
        </is>
      </c>
      <c r="X33" t="b">
        <v>0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Kaiser Permanente</t>
        </is>
      </c>
      <c r="F34" s="22" t="n">
        <v>12</v>
      </c>
      <c r="G34" s="23" t="n">
        <v>112.13169</v>
      </c>
      <c r="H34" s="23" t="n">
        <v>142.89</v>
      </c>
      <c r="I34" s="23" t="n">
        <v>30.75830999999999</v>
      </c>
      <c r="J34" s="24" t="n">
        <v>1944.28728</v>
      </c>
      <c r="K34" s="24" t="n">
        <v>972.1436399999999</v>
      </c>
      <c r="L34" s="24" t="n">
        <v>972.1436399999999</v>
      </c>
      <c r="M34" s="25" t="n">
        <v>0.5</v>
      </c>
      <c r="N34" s="24" t="n">
        <v>4798.296359999999</v>
      </c>
      <c r="O34" s="24" t="n">
        <v>3826.15272</v>
      </c>
      <c r="P34" s="24" t="n">
        <v>23331.44736</v>
      </c>
      <c r="Q34" s="24" t="n">
        <v>11665.72368</v>
      </c>
      <c r="R34" s="24" t="n">
        <v>45913.83264</v>
      </c>
      <c r="S34" s="24" t="n">
        <v>559954.73664</v>
      </c>
      <c r="T34" s="24" t="n">
        <v>1101931.98336</v>
      </c>
      <c r="U34" t="inlineStr">
        <is>
          <t>target</t>
        </is>
      </c>
      <c r="V34" s="22" t="n">
        <v>0.6</v>
      </c>
      <c r="W34" t="inlineStr">
        <is>
          <t>state_imputed_with_commonspirit_anchor</t>
        </is>
      </c>
      <c r="X34" t="b">
        <v>0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Kaiser Permanente</t>
        </is>
      </c>
      <c r="F35" s="22" t="n">
        <v>30.9</v>
      </c>
      <c r="G35" s="23" t="n">
        <v>114.82217</v>
      </c>
      <c r="H35" s="23" t="n">
        <v>114.82217</v>
      </c>
      <c r="I35" s="23" t="n">
        <v>0</v>
      </c>
      <c r="J35" s="24" t="n">
        <v>0</v>
      </c>
      <c r="K35" s="24" t="n">
        <v>1023.69852</v>
      </c>
      <c r="L35" s="24" t="n">
        <v>-1023.69852</v>
      </c>
      <c r="M35" s="25" t="n">
        <v>0</v>
      </c>
      <c r="N35" s="24" t="n">
        <v>0</v>
      </c>
      <c r="O35" s="24" t="n">
        <v>1023.69852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t="inlineStr">
        <is>
          <t>manual_review</t>
        </is>
      </c>
      <c r="V35" s="22" t="n">
        <v>0.95</v>
      </c>
      <c r="W35" t="inlineStr">
        <is>
          <t>hcris_nmrc_agency_per_hospital+msp_overlay</t>
        </is>
      </c>
      <c r="X35" t="b">
        <v>1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Kaiser Permanente</t>
        </is>
      </c>
      <c r="F36" s="22" t="n">
        <v>788.4</v>
      </c>
      <c r="G36" s="23" t="n">
        <v>78.8882</v>
      </c>
      <c r="H36" s="23" t="n">
        <v>85.91</v>
      </c>
      <c r="I36" s="23" t="n">
        <v>7.021799999999999</v>
      </c>
      <c r="J36" s="24" t="n">
        <v>1403.4384</v>
      </c>
      <c r="K36" s="24" t="n">
        <v>701.7192</v>
      </c>
      <c r="L36" s="24" t="n">
        <v>701.7192</v>
      </c>
      <c r="M36" s="25" t="n">
        <v>0.5</v>
      </c>
      <c r="N36" s="24" t="n">
        <v>1095.4008</v>
      </c>
      <c r="O36" s="24" t="n">
        <v>393.6815999999999</v>
      </c>
      <c r="P36" s="24" t="n">
        <v>1106469.820462251</v>
      </c>
      <c r="Q36" s="24" t="n">
        <v>553234.9102311257</v>
      </c>
      <c r="R36" s="24" t="n">
        <v>310378.2889732044</v>
      </c>
      <c r="S36" s="24" t="n">
        <v>26555275.69109403</v>
      </c>
      <c r="T36" s="24" t="n">
        <v>7449078.935356907</v>
      </c>
      <c r="U36" t="inlineStr">
        <is>
          <t>target</t>
        </is>
      </c>
      <c r="V36" s="22" t="n">
        <v>0.95</v>
      </c>
      <c r="W36" t="inlineStr">
        <is>
          <t>hcris_nmrc_agency_per_hospital+msp_overlay</t>
        </is>
      </c>
      <c r="X36" t="b">
        <v>0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Kaiser Permanente</t>
        </is>
      </c>
      <c r="F37" s="22" t="n">
        <v>359.7</v>
      </c>
      <c r="G37" s="23" t="n">
        <v>78.89819999999999</v>
      </c>
      <c r="H37" s="23" t="n">
        <v>79.53</v>
      </c>
      <c r="I37" s="23" t="n">
        <v>0.6318000000000126</v>
      </c>
      <c r="J37" s="24" t="n">
        <v>1403.4384</v>
      </c>
      <c r="K37" s="24" t="n">
        <v>701.7192</v>
      </c>
      <c r="L37" s="24" t="n">
        <v>701.7192</v>
      </c>
      <c r="M37" s="25" t="n">
        <v>0.5</v>
      </c>
      <c r="N37" s="24" t="n">
        <v>98.56080000000196</v>
      </c>
      <c r="O37" s="24" t="n">
        <v>-603.158399999998</v>
      </c>
      <c r="P37" s="24" t="n">
        <v>504775.5427473407</v>
      </c>
      <c r="Q37" s="24" t="n">
        <v>252387.7713736703</v>
      </c>
      <c r="R37" s="24" t="n">
        <v>-216938.3485036583</v>
      </c>
      <c r="S37" s="24" t="n">
        <v>12114613.02593618</v>
      </c>
      <c r="T37" s="24" t="n">
        <v>-5206520.3640878</v>
      </c>
      <c r="U37" t="inlineStr">
        <is>
          <t>target</t>
        </is>
      </c>
      <c r="V37" s="22" t="n">
        <v>0.95</v>
      </c>
      <c r="W37" t="inlineStr">
        <is>
          <t>hcris_nmrc_agency_per_hospital+msp_overlay</t>
        </is>
      </c>
      <c r="X37" t="b">
        <v>0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Kaiser Permanente</t>
        </is>
      </c>
      <c r="F38" s="22" t="n">
        <v>39.5</v>
      </c>
      <c r="G38" s="23" t="n">
        <v>60.629825</v>
      </c>
      <c r="H38" s="23" t="n">
        <v>108.21</v>
      </c>
      <c r="I38" s="23" t="n">
        <v>47.580175</v>
      </c>
      <c r="J38" s="24" t="n">
        <v>1051.3854</v>
      </c>
      <c r="K38" s="24" t="n">
        <v>525.6926999999999</v>
      </c>
      <c r="L38" s="24" t="n">
        <v>525.6926999999999</v>
      </c>
      <c r="M38" s="25" t="n">
        <v>0.5</v>
      </c>
      <c r="N38" s="24" t="n">
        <v>7422.507299999999</v>
      </c>
      <c r="O38" s="24" t="n">
        <v>6896.814599999999</v>
      </c>
      <c r="P38" s="24" t="n">
        <v>41529.7233</v>
      </c>
      <c r="Q38" s="24" t="n">
        <v>20764.86165</v>
      </c>
      <c r="R38" s="24" t="n">
        <v>272424.1767</v>
      </c>
      <c r="S38" s="24" t="n">
        <v>996713.3591999998</v>
      </c>
      <c r="T38" s="24" t="n">
        <v>6538180.240799999</v>
      </c>
      <c r="U38" t="inlineStr">
        <is>
          <t>target</t>
        </is>
      </c>
      <c r="V38" s="22" t="n">
        <v>0.85</v>
      </c>
      <c r="W38" t="inlineStr">
        <is>
          <t>hcris_derived_with_state_agency</t>
        </is>
      </c>
      <c r="X38" t="b">
        <v>0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Kaiser Permanente</t>
        </is>
      </c>
      <c r="F39" s="22" t="n">
        <v>105.5</v>
      </c>
      <c r="G39" s="23" t="n">
        <v>82.74475</v>
      </c>
      <c r="H39" s="23" t="n">
        <v>160.2</v>
      </c>
      <c r="I39" s="23" t="n">
        <v>77.45524999999999</v>
      </c>
      <c r="J39" s="24" t="n">
        <v>1467.882</v>
      </c>
      <c r="K39" s="24" t="n">
        <v>733.9409999999999</v>
      </c>
      <c r="L39" s="24" t="n">
        <v>733.9409999999999</v>
      </c>
      <c r="M39" s="25" t="n">
        <v>0.5</v>
      </c>
      <c r="N39" s="24" t="n">
        <v>12083.019</v>
      </c>
      <c r="O39" s="24" t="n">
        <v>11349.078</v>
      </c>
      <c r="P39" s="24" t="n">
        <v>154861.551</v>
      </c>
      <c r="Q39" s="24" t="n">
        <v>77430.77549999999</v>
      </c>
      <c r="R39" s="24" t="n">
        <v>1197327.729</v>
      </c>
      <c r="S39" s="24" t="n">
        <v>3716677.224</v>
      </c>
      <c r="T39" s="24" t="n">
        <v>28735865.496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33</v>
      </c>
      <c r="C4" s="23" t="n">
        <v>96.838925</v>
      </c>
      <c r="D4" s="23" t="n">
        <v>122.11</v>
      </c>
      <c r="E4" s="23" t="n">
        <v>28.415975</v>
      </c>
      <c r="F4" s="24" t="n">
        <v>1595.5758</v>
      </c>
      <c r="G4" s="24" t="n">
        <v>876.5522999999999</v>
      </c>
    </row>
    <row r="5">
      <c r="A5" t="inlineStr">
        <is>
          <t>OR</t>
        </is>
      </c>
      <c r="B5" t="n">
        <v>2</v>
      </c>
      <c r="C5" s="23" t="n">
        <v>78.89319999999999</v>
      </c>
      <c r="D5" s="23" t="n">
        <v>82.72</v>
      </c>
      <c r="E5" s="23" t="n">
        <v>3.826800000000006</v>
      </c>
      <c r="F5" s="24" t="n">
        <v>1403.4384</v>
      </c>
      <c r="G5" s="24" t="n">
        <v>701.7192</v>
      </c>
    </row>
    <row r="6">
      <c r="A6" t="inlineStr">
        <is>
          <t>HI</t>
        </is>
      </c>
      <c r="B6" t="n">
        <v>1</v>
      </c>
      <c r="C6" s="23" t="n">
        <v>114.82217</v>
      </c>
      <c r="D6" s="23" t="n">
        <v>114.82217</v>
      </c>
      <c r="E6" s="23" t="n">
        <v>0</v>
      </c>
      <c r="F6" s="24" t="n">
        <v>0</v>
      </c>
      <c r="G6" s="24" t="n">
        <v>1023.69852</v>
      </c>
    </row>
    <row r="7">
      <c r="A7" t="inlineStr">
        <is>
          <t>TX</t>
        </is>
      </c>
      <c r="B7" t="n">
        <v>1</v>
      </c>
      <c r="C7" s="23" t="n">
        <v>60.629825</v>
      </c>
      <c r="D7" s="23" t="n">
        <v>108.21</v>
      </c>
      <c r="E7" s="23" t="n">
        <v>47.580175</v>
      </c>
      <c r="F7" s="24" t="n">
        <v>1051.3854</v>
      </c>
      <c r="G7" s="24" t="n">
        <v>525.6926999999999</v>
      </c>
    </row>
    <row r="8">
      <c r="A8" t="inlineStr">
        <is>
          <t>WA</t>
        </is>
      </c>
      <c r="B8" t="n">
        <v>1</v>
      </c>
      <c r="C8" s="23" t="n">
        <v>82.74475</v>
      </c>
      <c r="D8" s="23" t="n">
        <v>160.2</v>
      </c>
      <c r="E8" s="23" t="n">
        <v>77.45524999999999</v>
      </c>
      <c r="F8" s="24" t="n">
        <v>1467.882</v>
      </c>
      <c r="G8" s="24" t="n">
        <v>733.9409999999999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SAN MATEO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521</v>
      </c>
      <c r="I2" s="24" t="n">
        <v>56917593</v>
      </c>
      <c r="J2" s="25" t="n">
        <v>0.3775</v>
      </c>
      <c r="K2" s="25" t="n">
        <v>0.1795</v>
      </c>
      <c r="L2" s="24" t="n">
        <v>176</v>
      </c>
      <c r="M2" s="24" t="n">
        <v>104.369675</v>
      </c>
      <c r="N2" s="24" t="n">
        <v>124.37</v>
      </c>
      <c r="O2" t="inlineStr">
        <is>
          <t>hcris_nmrc_agency_per_hospital+msp_overlay</t>
        </is>
      </c>
      <c r="P2" s="26" t="n">
        <v>0.95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SANTA CLARA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2016</v>
      </c>
      <c r="I3" s="24" t="n">
        <v>181523510</v>
      </c>
      <c r="J3" s="25" t="n">
        <v>0.3371</v>
      </c>
      <c r="K3" s="25" t="n">
        <v>0.2176</v>
      </c>
      <c r="L3" s="24" t="n">
        <v>526</v>
      </c>
      <c r="M3" s="24" t="n">
        <v>108.00169</v>
      </c>
      <c r="N3" s="24" t="n">
        <v>132.72</v>
      </c>
      <c r="O3" t="inlineStr">
        <is>
          <t>hcris_nmrc_agency_per_hospital+msp_overlay</t>
        </is>
      </c>
      <c r="P3" s="26" t="n">
        <v>0.95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CONTRA COSTA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1357</v>
      </c>
      <c r="I4" s="24" t="n">
        <v>96300035</v>
      </c>
      <c r="J4" s="25" t="n">
        <v>0.2692</v>
      </c>
      <c r="K4" s="25" t="n">
        <v>0.0575</v>
      </c>
      <c r="L4" s="24" t="n">
        <v>284.5</v>
      </c>
      <c r="M4" s="24" t="n">
        <v>103.219675</v>
      </c>
      <c r="N4" s="24" t="n">
        <v>130.21</v>
      </c>
      <c r="O4" t="inlineStr">
        <is>
          <t>hcris_nmrc_agency_per_hospital+msp_overlay</t>
        </is>
      </c>
      <c r="P4" s="26" t="n">
        <v>0.95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SOLANO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1163</v>
      </c>
      <c r="I5" s="24" t="n">
        <v>91010421</v>
      </c>
      <c r="J5" s="25" t="n">
        <v>0.3164</v>
      </c>
      <c r="K5" s="25" t="n">
        <v>0.07439999999999999</v>
      </c>
      <c r="L5" s="24" t="n">
        <v>269.2</v>
      </c>
      <c r="M5" s="24" t="n">
        <v>145.046471923077</v>
      </c>
      <c r="N5" s="24" t="n">
        <v>145.046471923077</v>
      </c>
      <c r="O5" t="inlineStr">
        <is>
          <t>hcris_nmrc_agency_per_hospital+msp_overlay</t>
        </is>
      </c>
      <c r="P5" s="26" t="n">
        <v>0.95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ALAMEDA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2494</v>
      </c>
      <c r="I6" s="24" t="n">
        <v>186310500</v>
      </c>
      <c r="J6" s="25" t="n">
        <v>0.3096</v>
      </c>
      <c r="K6" s="25" t="n">
        <v>0.0965</v>
      </c>
      <c r="L6" s="24" t="n">
        <v>558.1</v>
      </c>
      <c r="M6" s="24" t="n">
        <v>105.079675</v>
      </c>
      <c r="N6" s="24" t="n">
        <v>128.4</v>
      </c>
      <c r="O6" t="inlineStr">
        <is>
          <t>hcris_nmrc_agency_per_hospital+msp_overlay</t>
        </is>
      </c>
      <c r="P6" s="26" t="n">
        <v>0.95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SAN FRANCISCO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1328</v>
      </c>
      <c r="I7" s="24" t="n">
        <v>97219361</v>
      </c>
      <c r="J7" s="25" t="n">
        <v>0.2872</v>
      </c>
      <c r="K7" s="25" t="n">
        <v>0.1517</v>
      </c>
      <c r="L7" s="24" t="n">
        <v>311.1</v>
      </c>
      <c r="M7" s="24" t="n">
        <v>104.139675</v>
      </c>
      <c r="N7" s="24" t="n">
        <v>120.2</v>
      </c>
      <c r="O7" t="inlineStr">
        <is>
          <t>hcris_nmrc_agency_per_hospital+msp_overlay</t>
        </is>
      </c>
      <c r="P7" s="26" t="n">
        <v>0.95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LOS ANGELES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914</v>
      </c>
      <c r="I8" s="24" t="n">
        <v>65073699</v>
      </c>
      <c r="J8" s="25" t="n">
        <v>0.3539</v>
      </c>
      <c r="K8" s="25" t="n">
        <v>0.1269</v>
      </c>
      <c r="L8" s="24" t="n">
        <v>205</v>
      </c>
      <c r="M8" s="24" t="n">
        <v>86.50402499999998</v>
      </c>
      <c r="N8" s="24" t="n">
        <v>122.11</v>
      </c>
      <c r="O8" t="inlineStr">
        <is>
          <t>hcris_nmrc_agency_per_hospital+msp_overlay</t>
        </is>
      </c>
      <c r="P8" s="26" t="n">
        <v>0.95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LOS ANGELES</t>
        </is>
      </c>
      <c r="F9" t="inlineStr">
        <is>
          <t>Acute Care Hospitals</t>
        </is>
      </c>
      <c r="G9" t="inlineStr">
        <is>
          <t>Voluntary non-profit - Other</t>
        </is>
      </c>
      <c r="H9" s="24" t="n">
        <v>2315</v>
      </c>
      <c r="I9" s="24" t="n">
        <v>184183319</v>
      </c>
      <c r="J9" s="25" t="n">
        <v>0.3601</v>
      </c>
      <c r="K9" s="25" t="n">
        <v>0.1856</v>
      </c>
      <c r="L9" s="24" t="n">
        <v>581.4</v>
      </c>
      <c r="M9" s="24" t="n">
        <v>88.224025</v>
      </c>
      <c r="N9" s="24" t="n">
        <v>121.84</v>
      </c>
      <c r="O9" t="inlineStr">
        <is>
          <t>hcris_nmrc_agency_per_hospital+msp_overlay</t>
        </is>
      </c>
      <c r="P9" s="26" t="n">
        <v>0.95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LOS ANGELES</t>
        </is>
      </c>
      <c r="F10" t="inlineStr">
        <is>
          <t>Acute Care Hospitals</t>
        </is>
      </c>
      <c r="G10" t="inlineStr">
        <is>
          <t>Voluntary non-profit - Other</t>
        </is>
      </c>
      <c r="H10" s="24" t="n">
        <v>1671</v>
      </c>
      <c r="I10" s="24" t="n">
        <v>124647867</v>
      </c>
      <c r="J10" s="25" t="n">
        <v>0.3385</v>
      </c>
      <c r="K10" s="25" t="n">
        <v>0.0838</v>
      </c>
      <c r="L10" s="24" t="n">
        <v>398.8</v>
      </c>
      <c r="M10" s="24" t="n">
        <v>89.474025</v>
      </c>
      <c r="N10" s="24" t="n">
        <v>120.2</v>
      </c>
      <c r="O10" t="inlineStr">
        <is>
          <t>hcris_nmrc_agency_per_hospital+msp_overlay</t>
        </is>
      </c>
      <c r="P10" s="26" t="n">
        <v>0.95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SAN BERNARDINO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2919</v>
      </c>
      <c r="I11" s="24" t="n">
        <v>220339882</v>
      </c>
      <c r="J11" s="25" t="n">
        <v>0.3505</v>
      </c>
      <c r="K11" s="25" t="n">
        <v>0.166</v>
      </c>
      <c r="L11" s="24" t="n">
        <v>727.9</v>
      </c>
      <c r="M11" s="24" t="n">
        <v>83.20065</v>
      </c>
      <c r="N11" s="24" t="n">
        <v>116.42</v>
      </c>
      <c r="O11" t="inlineStr">
        <is>
          <t>hcris_nmrc_agency_per_hospital+msp_overlay</t>
        </is>
      </c>
      <c r="P11" s="26" t="n">
        <v>0.95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LOS ANGELES</t>
        </is>
      </c>
      <c r="F12" t="inlineStr">
        <is>
          <t>Acute Care Hospitals</t>
        </is>
      </c>
      <c r="G12" t="inlineStr">
        <is>
          <t>Voluntary non-profit - Other</t>
        </is>
      </c>
      <c r="H12" s="24" t="n">
        <v>1038</v>
      </c>
      <c r="I12" s="24" t="n">
        <v>90752486</v>
      </c>
      <c r="J12" s="25" t="n">
        <v>0.3723</v>
      </c>
      <c r="K12" s="25" t="n">
        <v>0.1339</v>
      </c>
      <c r="L12" s="24" t="n">
        <v>293.1</v>
      </c>
      <c r="M12" s="24" t="n">
        <v>88.79402499999999</v>
      </c>
      <c r="N12" s="24" t="n">
        <v>119.09</v>
      </c>
      <c r="O12" t="inlineStr">
        <is>
          <t>hcris_nmrc_agency_per_hospital+msp_overlay</t>
        </is>
      </c>
      <c r="P12" s="26" t="n">
        <v>0.95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SACRAMENTO</t>
        </is>
      </c>
      <c r="F13" t="inlineStr">
        <is>
          <t>Acute Care Hospitals</t>
        </is>
      </c>
      <c r="G13" t="inlineStr">
        <is>
          <t>Voluntary non-profit - Private</t>
        </is>
      </c>
      <c r="H13" s="24" t="n">
        <v>1229</v>
      </c>
      <c r="I13" s="24" t="n">
        <v>133144573</v>
      </c>
      <c r="J13" s="25" t="n">
        <v>0.3621</v>
      </c>
      <c r="K13" s="25" t="n">
        <v>0.1198</v>
      </c>
      <c r="L13" s="24" t="n">
        <v>405</v>
      </c>
      <c r="M13" s="24" t="n">
        <v>96.838925</v>
      </c>
      <c r="N13" s="24" t="n">
        <v>126.44</v>
      </c>
      <c r="O13" t="inlineStr">
        <is>
          <t>hcris_nmrc_agency_per_hospital+msp_overlay</t>
        </is>
      </c>
      <c r="P13" s="26" t="n">
        <v>0.95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MARIN</t>
        </is>
      </c>
      <c r="F14" t="inlineStr">
        <is>
          <t>Acute Care Hospitals</t>
        </is>
      </c>
      <c r="G14" t="inlineStr">
        <is>
          <t>Voluntary non-profit - Private</t>
        </is>
      </c>
      <c r="H14" s="24" t="n">
        <v>489</v>
      </c>
      <c r="I14" s="24" t="n">
        <v>48670213</v>
      </c>
      <c r="J14" s="25" t="n">
        <v>0.358</v>
      </c>
      <c r="K14" s="25" t="n">
        <v>-0.3326</v>
      </c>
      <c r="L14" s="24" t="n">
        <v>145.6</v>
      </c>
      <c r="M14" s="24" t="n">
        <v>103.509675</v>
      </c>
      <c r="N14" s="24" t="n">
        <v>128.56</v>
      </c>
      <c r="O14" t="inlineStr">
        <is>
          <t>hcris_nmrc_agency_per_hospital+msp_overlay</t>
        </is>
      </c>
      <c r="P14" s="26" t="n">
        <v>0.95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ALAMEDA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561</v>
      </c>
      <c r="I15" s="24" t="n">
        <v>55792469</v>
      </c>
      <c r="J15" s="25" t="n">
        <v>0.3799</v>
      </c>
      <c r="K15" s="25" t="n">
        <v>0.0163</v>
      </c>
      <c r="L15" s="24" t="n">
        <v>165.2</v>
      </c>
      <c r="M15" s="24" t="n">
        <v>106.449675</v>
      </c>
      <c r="N15" s="24" t="n">
        <v>129.93</v>
      </c>
      <c r="O15" t="inlineStr">
        <is>
          <t>hcris_nmrc_agency_per_hospital+msp_overlay</t>
        </is>
      </c>
      <c r="P15" s="26" t="n">
        <v>0.95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SAN DIEGO</t>
        </is>
      </c>
      <c r="F16" t="inlineStr">
        <is>
          <t>Acute Care Hospitals</t>
        </is>
      </c>
      <c r="G16" t="inlineStr">
        <is>
          <t>Voluntary non-profit - Private</t>
        </is>
      </c>
      <c r="H16" s="24" t="n">
        <v>2379</v>
      </c>
      <c r="I16" s="24" t="n">
        <v>185572591</v>
      </c>
      <c r="J16" s="25" t="n">
        <v>0.3416</v>
      </c>
      <c r="K16" s="25" t="n">
        <v>0.1012</v>
      </c>
      <c r="L16" s="24" t="n">
        <v>611.1</v>
      </c>
      <c r="M16" s="24" t="n">
        <v>86.0778</v>
      </c>
      <c r="N16" s="24" t="n">
        <v>116.79</v>
      </c>
      <c r="O16" t="inlineStr">
        <is>
          <t>hcris_nmrc_agency_per_hospital+msp_overlay</t>
        </is>
      </c>
      <c r="P16" s="26" t="n">
        <v>0.95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SAN MATEO</t>
        </is>
      </c>
      <c r="F17" t="inlineStr">
        <is>
          <t>Acute Care Hospitals</t>
        </is>
      </c>
      <c r="G17" t="inlineStr">
        <is>
          <t>Voluntary non-profit - Private</t>
        </is>
      </c>
      <c r="H17" s="24" t="n">
        <v>710</v>
      </c>
      <c r="I17" s="24" t="n">
        <v>69425647</v>
      </c>
      <c r="J17" s="25" t="n">
        <v>0.3505</v>
      </c>
      <c r="K17" s="25" t="n">
        <v>0.1088</v>
      </c>
      <c r="L17" s="24" t="n">
        <v>208</v>
      </c>
      <c r="M17" s="24" t="n">
        <v>104.349675</v>
      </c>
      <c r="N17" s="24" t="n">
        <v>128.37</v>
      </c>
      <c r="O17" t="inlineStr">
        <is>
          <t>hcris_nmrc_agency_per_hospital+msp_overlay</t>
        </is>
      </c>
      <c r="P17" s="26" t="n">
        <v>0.95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LOS ANGELES</t>
        </is>
      </c>
      <c r="F18" t="inlineStr">
        <is>
          <t>Acute Care Hospitals</t>
        </is>
      </c>
      <c r="G18" t="inlineStr">
        <is>
          <t>Voluntary non-profit - Private</t>
        </is>
      </c>
      <c r="H18" s="24" t="n">
        <v>878</v>
      </c>
      <c r="I18" s="24" t="n">
        <v>71890276</v>
      </c>
      <c r="J18" s="25" t="n">
        <v>0.372</v>
      </c>
      <c r="K18" s="25" t="n">
        <v>0.0795</v>
      </c>
      <c r="L18" s="24" t="n">
        <v>235.7</v>
      </c>
      <c r="M18" s="24" t="n">
        <v>88.90402499999999</v>
      </c>
      <c r="N18" s="24" t="n">
        <v>117.32</v>
      </c>
      <c r="O18" t="inlineStr">
        <is>
          <t>hcris_nmrc_agency_per_hospital+msp_overlay</t>
        </is>
      </c>
      <c r="P18" s="26" t="n">
        <v>0.95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SANTA CLARA</t>
        </is>
      </c>
      <c r="F19" t="inlineStr">
        <is>
          <t>Acute Care Hospitals</t>
        </is>
      </c>
      <c r="G19" t="inlineStr">
        <is>
          <t>Voluntary non-profit - Private</t>
        </is>
      </c>
      <c r="H19" s="24" t="n">
        <v>1024</v>
      </c>
      <c r="I19" s="24" t="n">
        <v>98214645</v>
      </c>
      <c r="J19" s="25" t="n">
        <v>0.3399</v>
      </c>
      <c r="K19" s="25" t="n">
        <v>0.2189</v>
      </c>
      <c r="L19" s="24" t="n">
        <v>310.6</v>
      </c>
      <c r="M19" s="24" t="n">
        <v>107.80169</v>
      </c>
      <c r="N19" s="24" t="n">
        <v>121.62</v>
      </c>
      <c r="O19" t="inlineStr">
        <is>
          <t>hcris_nmrc_agency_per_hospital+msp_overlay</t>
        </is>
      </c>
      <c r="P19" s="26" t="n">
        <v>0.95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ORANGE</t>
        </is>
      </c>
      <c r="F20" t="inlineStr">
        <is>
          <t>Acute Care Hospitals</t>
        </is>
      </c>
      <c r="G20" t="inlineStr">
        <is>
          <t>Voluntary non-profit - Private</t>
        </is>
      </c>
      <c r="H20" s="24" t="n">
        <v>2026</v>
      </c>
      <c r="I20" s="24" t="n">
        <v>146799153</v>
      </c>
      <c r="J20" s="25" t="n">
        <v>0.3241</v>
      </c>
      <c r="K20" s="25" t="n">
        <v>0.1891</v>
      </c>
      <c r="L20" s="24" t="n">
        <v>476.3</v>
      </c>
      <c r="M20" s="24" t="n">
        <v>89.43402499999999</v>
      </c>
      <c r="N20" s="24" t="n">
        <v>118.53</v>
      </c>
      <c r="O20" t="inlineStr">
        <is>
          <t>hcris_nmrc_agency_per_hospital+msp_overlay</t>
        </is>
      </c>
      <c r="P20" s="26" t="n">
        <v>0.95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SACRAMENTO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1450</v>
      </c>
      <c r="I21" s="24" t="n">
        <v>148791295</v>
      </c>
      <c r="J21" s="25" t="n">
        <v>0.3507</v>
      </c>
      <c r="K21" s="25" t="n">
        <v>0.1165</v>
      </c>
      <c r="L21" s="24" t="n">
        <v>436.8</v>
      </c>
      <c r="M21" s="24" t="n">
        <v>97.73892500000001</v>
      </c>
      <c r="N21" s="24" t="n">
        <v>131.03</v>
      </c>
      <c r="O21" t="inlineStr">
        <is>
          <t>hcris_nmrc_agency_per_hospital+msp_overlay</t>
        </is>
      </c>
      <c r="P21" s="26" t="n">
        <v>0.95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LOS ANGELES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949</v>
      </c>
      <c r="I22" s="24" t="n">
        <v>71253678</v>
      </c>
      <c r="J22" s="25" t="n">
        <v>0.3598</v>
      </c>
      <c r="K22" s="25" t="n">
        <v>0.0344</v>
      </c>
      <c r="L22" s="24" t="n">
        <v>234.5</v>
      </c>
      <c r="M22" s="24" t="n">
        <v>89.584025</v>
      </c>
      <c r="N22" s="24" t="n">
        <v>116.85</v>
      </c>
      <c r="O22" t="inlineStr">
        <is>
          <t>hcris_nmrc_agency_per_hospital+msp_overlay</t>
        </is>
      </c>
      <c r="P22" s="26" t="n">
        <v>0.95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RIVERSIDE</t>
        </is>
      </c>
      <c r="F23" t="inlineStr">
        <is>
          <t>Acute Care Hospitals</t>
        </is>
      </c>
      <c r="G23" t="inlineStr">
        <is>
          <t>Voluntary non-profit - Private</t>
        </is>
      </c>
      <c r="H23" s="24" t="n">
        <v>1227</v>
      </c>
      <c r="I23" s="24" t="n">
        <v>69872923</v>
      </c>
      <c r="J23" s="25" t="n">
        <v>0.2754</v>
      </c>
      <c r="K23" s="25" t="n">
        <v>0.1016</v>
      </c>
      <c r="L23" s="24" t="n">
        <v>240.7</v>
      </c>
      <c r="M23" s="24" t="n">
        <v>81.38065</v>
      </c>
      <c r="N23" s="24" t="n">
        <v>111.66</v>
      </c>
      <c r="O23" t="inlineStr">
        <is>
          <t>hcris_nmrc_agency_per_hospital+msp_overlay</t>
        </is>
      </c>
      <c r="P23" s="26" t="n">
        <v>0.95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SONOMA</t>
        </is>
      </c>
      <c r="F24" t="inlineStr">
        <is>
          <t>Acute Care Hospitals</t>
        </is>
      </c>
      <c r="G24" t="inlineStr">
        <is>
          <t>Voluntary non-profit - Private</t>
        </is>
      </c>
      <c r="H24" s="24" t="n">
        <v>884</v>
      </c>
      <c r="I24" s="24" t="n">
        <v>72093493</v>
      </c>
      <c r="J24" s="25" t="n">
        <v>0.3115</v>
      </c>
      <c r="K24" s="25" t="n">
        <v>-0.0073</v>
      </c>
      <c r="L24" s="24" t="n">
        <v>230.1</v>
      </c>
      <c r="M24" s="24" t="n">
        <v>87.08517500000001</v>
      </c>
      <c r="N24" s="24" t="n">
        <v>120.51</v>
      </c>
      <c r="O24" t="inlineStr">
        <is>
          <t>hcris_nmrc_agency_per_hospital+msp_overlay</t>
        </is>
      </c>
      <c r="P24" s="26" t="n">
        <v>0.95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FRESNO</t>
        </is>
      </c>
      <c r="F25" t="inlineStr">
        <is>
          <t>Acute Care Hospitals</t>
        </is>
      </c>
      <c r="G25" t="inlineStr">
        <is>
          <t>Voluntary non-profit - Private</t>
        </is>
      </c>
      <c r="H25" s="24" t="n">
        <v>862</v>
      </c>
      <c r="I25" s="24" t="n">
        <v>62412029</v>
      </c>
      <c r="J25" s="25" t="n">
        <v>0.3079</v>
      </c>
      <c r="K25" s="25" t="n">
        <v>0.2186</v>
      </c>
      <c r="L25" s="24" t="n">
        <v>199</v>
      </c>
      <c r="M25" s="24" t="n">
        <v>82.428575</v>
      </c>
      <c r="N25" s="24" t="n">
        <v>120.61</v>
      </c>
      <c r="O25" t="inlineStr">
        <is>
          <t>hcris_nmrc_agency_per_hospital+msp_overlay</t>
        </is>
      </c>
      <c r="P25" s="26" t="n">
        <v>0.95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LOS ANGELES</t>
        </is>
      </c>
      <c r="F26" t="inlineStr">
        <is>
          <t>Acute Care Hospitals</t>
        </is>
      </c>
      <c r="G26" t="inlineStr">
        <is>
          <t>Voluntary non-profit - Other</t>
        </is>
      </c>
      <c r="H26" s="24" t="n">
        <v>1121</v>
      </c>
      <c r="I26" s="24" t="n">
        <v>97605660</v>
      </c>
      <c r="J26" s="25" t="n">
        <v>0.3733</v>
      </c>
      <c r="K26" s="25" t="n">
        <v>0.1312</v>
      </c>
      <c r="L26" s="24" t="n">
        <v>311.7</v>
      </c>
      <c r="M26" s="24" t="n">
        <v>88.95402499999999</v>
      </c>
      <c r="N26" s="24" t="n">
        <v>120.45</v>
      </c>
      <c r="O26" t="inlineStr">
        <is>
          <t>hcris_nmrc_agency_per_hospital+msp_overlay</t>
        </is>
      </c>
      <c r="P26" s="26" t="n">
        <v>0.95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SAN JOAQUIN</t>
        </is>
      </c>
      <c r="F27" t="inlineStr">
        <is>
          <t>Acute Care Hospitals</t>
        </is>
      </c>
      <c r="G27" t="inlineStr">
        <is>
          <t>Voluntary non-profit - Private</t>
        </is>
      </c>
      <c r="H27" s="24" t="n">
        <v>1304</v>
      </c>
      <c r="I27" s="24" t="n">
        <v>108214498</v>
      </c>
      <c r="J27" s="25" t="n">
        <v>0.3236</v>
      </c>
      <c r="K27" s="25" t="n">
        <v>0.2612</v>
      </c>
      <c r="L27" s="24" t="n">
        <v>335.7</v>
      </c>
      <c r="M27" s="24" t="n">
        <v>88.30369999999999</v>
      </c>
      <c r="N27" s="24" t="n">
        <v>123.99</v>
      </c>
      <c r="O27" t="inlineStr">
        <is>
          <t>hcris_nmrc_agency_per_hospital+msp_overlay</t>
        </is>
      </c>
      <c r="P27" s="26" t="n">
        <v>0.95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CONTRA COSTA</t>
        </is>
      </c>
      <c r="F28" t="inlineStr">
        <is>
          <t>Acute Care Hospitals</t>
        </is>
      </c>
      <c r="G28" t="inlineStr">
        <is>
          <t>Voluntary non-profit - Private</t>
        </is>
      </c>
      <c r="H28" s="24" t="n">
        <v>813</v>
      </c>
      <c r="I28" s="24" t="n">
        <v>69529605</v>
      </c>
      <c r="J28" s="25" t="n">
        <v>0.328</v>
      </c>
      <c r="K28" s="25" t="n">
        <v>0.1682</v>
      </c>
      <c r="L28" s="24" t="n">
        <v>209.4</v>
      </c>
      <c r="M28" s="24" t="n">
        <v>106.109675</v>
      </c>
      <c r="N28" s="24" t="n">
        <v>127.73</v>
      </c>
      <c r="O28" t="inlineStr">
        <is>
          <t>hcris_nmrc_agency_per_hospital+msp_overlay</t>
        </is>
      </c>
      <c r="P28" s="26" t="n">
        <v>0.95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RIVERSIDE</t>
        </is>
      </c>
      <c r="F29" t="inlineStr">
        <is>
          <t>Acute Care Hospitals</t>
        </is>
      </c>
      <c r="G29" t="inlineStr">
        <is>
          <t>Voluntary non-profit - Private</t>
        </is>
      </c>
      <c r="H29" s="24" t="n">
        <v>436</v>
      </c>
      <c r="I29" s="24" t="n">
        <v>49359055</v>
      </c>
      <c r="J29" s="25" t="n">
        <v>0.4464</v>
      </c>
      <c r="K29" s="25" t="n">
        <v>-0.0121</v>
      </c>
      <c r="L29" s="24" t="n">
        <v>167</v>
      </c>
      <c r="M29" s="24" t="n">
        <v>86.02065000000002</v>
      </c>
      <c r="N29" s="24" t="n">
        <v>113.7</v>
      </c>
      <c r="O29" t="inlineStr">
        <is>
          <t>hcris_nmrc_agency_per_hospital+msp_overlay</t>
        </is>
      </c>
      <c r="P29" s="26" t="n">
        <v>0.95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SOLANO</t>
        </is>
      </c>
      <c r="F30" t="inlineStr">
        <is>
          <t>Acute Care Hospitals</t>
        </is>
      </c>
      <c r="G30" t="inlineStr">
        <is>
          <t>Voluntary non-profit - Private</t>
        </is>
      </c>
      <c r="H30" s="24" t="n">
        <v>792</v>
      </c>
      <c r="I30" s="24" t="n">
        <v>54679290</v>
      </c>
      <c r="J30" s="25" t="n">
        <v>0.2862</v>
      </c>
      <c r="K30" s="25" t="n">
        <v>0.1462</v>
      </c>
      <c r="L30" s="24" t="n">
        <v>160.9</v>
      </c>
      <c r="M30" s="24" t="n">
        <v>160.9305819230769</v>
      </c>
      <c r="N30" s="24" t="n">
        <v>160.9305819230769</v>
      </c>
      <c r="O30" t="inlineStr">
        <is>
          <t>hcris_nmrc_agency_per_hospital+msp_overlay</t>
        </is>
      </c>
      <c r="P30" s="26" t="n">
        <v>0.95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PLACER</t>
        </is>
      </c>
      <c r="F31" t="inlineStr">
        <is>
          <t>Acute Care Hospitals</t>
        </is>
      </c>
      <c r="G31" t="inlineStr">
        <is>
          <t>Voluntary non-profit - Private</t>
        </is>
      </c>
      <c r="H31" s="24" t="n">
        <v>2038</v>
      </c>
      <c r="I31" s="24" t="n">
        <v>180921299</v>
      </c>
      <c r="J31" s="25" t="n">
        <v>0.32</v>
      </c>
      <c r="K31" s="25" t="n">
        <v>0.1936</v>
      </c>
      <c r="L31" s="24" t="n">
        <v>504.7</v>
      </c>
      <c r="M31" s="24" t="n">
        <v>97.998925</v>
      </c>
      <c r="N31" s="24" t="n">
        <v>137.88</v>
      </c>
      <c r="O31" t="inlineStr">
        <is>
          <t>hcris_nmrc_agency_per_hospital+msp_overlay</t>
        </is>
      </c>
      <c r="P31" s="26" t="n">
        <v>0.95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ALAMEDA</t>
        </is>
      </c>
      <c r="F32" t="inlineStr">
        <is>
          <t>Acute Care Hospitals</t>
        </is>
      </c>
      <c r="G32" t="inlineStr">
        <is>
          <t>Voluntary non-profit - Private</t>
        </is>
      </c>
      <c r="H32" s="24" t="n">
        <v>1109</v>
      </c>
      <c r="I32" s="24" t="n">
        <v>94608424</v>
      </c>
      <c r="J32" s="25" t="n">
        <v>0.3081</v>
      </c>
      <c r="K32" s="25" t="n">
        <v>0.1246</v>
      </c>
      <c r="L32" s="24" t="n">
        <v>278.8</v>
      </c>
      <c r="M32" s="24" t="n">
        <v>104.069675</v>
      </c>
      <c r="N32" s="24" t="n">
        <v>130.53</v>
      </c>
      <c r="O32" t="inlineStr">
        <is>
          <t>hcris_nmrc_agency_per_hospital+msp_overlay</t>
        </is>
      </c>
      <c r="P32" s="26" t="n">
        <v>0.95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SAN DIEGO</t>
        </is>
      </c>
      <c r="F33" t="inlineStr">
        <is>
          <t>Acute Care Hospitals</t>
        </is>
      </c>
      <c r="G33" t="inlineStr">
        <is>
          <t>Voluntary non-profit - Private</t>
        </is>
      </c>
      <c r="H33" t="inlineStr"/>
      <c r="I33" t="inlineStr"/>
      <c r="J33" t="inlineStr"/>
      <c r="K33" t="inlineStr"/>
      <c r="L33" s="24" t="n">
        <v>30</v>
      </c>
      <c r="M33" s="24" t="n">
        <v>89.74780000000001</v>
      </c>
      <c r="N33" s="24" t="n">
        <v>114.95</v>
      </c>
      <c r="O33" t="inlineStr">
        <is>
          <t>hcris_nmrc_agency_only+msp_overlay</t>
        </is>
      </c>
      <c r="P33" s="26" t="n">
        <v>0.95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SANTA CLARA</t>
        </is>
      </c>
      <c r="F34" t="inlineStr">
        <is>
          <t>Psychiatric</t>
        </is>
      </c>
      <c r="G34" t="inlineStr">
        <is>
          <t>Proprietary</t>
        </is>
      </c>
      <c r="H34" t="inlineStr"/>
      <c r="I34" t="inlineStr"/>
      <c r="J34" t="inlineStr"/>
      <c r="K34" t="inlineStr"/>
      <c r="L34" s="24" t="n">
        <v>12</v>
      </c>
      <c r="M34" s="24" t="n">
        <v>112.13169</v>
      </c>
      <c r="N34" s="24" t="n">
        <v>142.89</v>
      </c>
      <c r="O34" t="inlineStr">
        <is>
          <t>state_imputed_with_commonspirit_anchor</t>
        </is>
      </c>
      <c r="P34" s="26" t="n">
        <v>0.6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HONOLULU</t>
        </is>
      </c>
      <c r="F35" t="inlineStr">
        <is>
          <t>Acute Care Hospitals</t>
        </is>
      </c>
      <c r="G35" t="inlineStr">
        <is>
          <t>Voluntary non-profit - Private</t>
        </is>
      </c>
      <c r="H35" s="24" t="n">
        <v>1362</v>
      </c>
      <c r="I35" s="24" t="n">
        <v>8805080</v>
      </c>
      <c r="J35" s="25" t="n">
        <v>0.0522</v>
      </c>
      <c r="K35" s="25" t="n">
        <v>0.1467</v>
      </c>
      <c r="L35" s="24" t="n">
        <v>30.9</v>
      </c>
      <c r="M35" s="24" t="n">
        <v>114.82217</v>
      </c>
      <c r="N35" s="24" t="n">
        <v>114.82217</v>
      </c>
      <c r="O35" t="inlineStr">
        <is>
          <t>hcris_nmrc_agency_per_hospital+msp_overlay</t>
        </is>
      </c>
      <c r="P35" s="26" t="n">
        <v>0.95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CLACKAMAS</t>
        </is>
      </c>
      <c r="F36" t="inlineStr">
        <is>
          <t>Acute Care Hospitals</t>
        </is>
      </c>
      <c r="G36" t="inlineStr">
        <is>
          <t>Voluntary non-profit - Other</t>
        </is>
      </c>
      <c r="H36" s="24" t="n">
        <v>1720</v>
      </c>
      <c r="I36" s="24" t="n">
        <v>176101593</v>
      </c>
      <c r="J36" s="25" t="n">
        <v>0.4509</v>
      </c>
      <c r="K36" t="inlineStr"/>
      <c r="L36" s="24" t="n">
        <v>788.4</v>
      </c>
      <c r="M36" s="24" t="n">
        <v>78.8882</v>
      </c>
      <c r="N36" s="24" t="n">
        <v>85.91</v>
      </c>
      <c r="O36" t="inlineStr">
        <is>
          <t>hcris_nmrc_agency_per_hospital+msp_overlay</t>
        </is>
      </c>
      <c r="P36" s="26" t="n">
        <v>0.95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WASHINGTON</t>
        </is>
      </c>
      <c r="F37" t="inlineStr">
        <is>
          <t>Acute Care Hospitals</t>
        </is>
      </c>
      <c r="G37" t="inlineStr">
        <is>
          <t>Voluntary non-profit - Private</t>
        </is>
      </c>
      <c r="H37" s="24" t="n">
        <v>736</v>
      </c>
      <c r="I37" s="24" t="n">
        <v>74371969</v>
      </c>
      <c r="J37" s="25" t="n">
        <v>0.4543</v>
      </c>
      <c r="K37" t="inlineStr"/>
      <c r="L37" s="24" t="n">
        <v>359.7</v>
      </c>
      <c r="M37" s="24" t="n">
        <v>78.89819999999999</v>
      </c>
      <c r="N37" s="24" t="n">
        <v>79.53</v>
      </c>
      <c r="O37" t="inlineStr">
        <is>
          <t>hcris_nmrc_agency_per_hospital+msp_overlay</t>
        </is>
      </c>
      <c r="P37" s="26" t="n">
        <v>0.95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KARNES</t>
        </is>
      </c>
      <c r="F38" t="inlineStr">
        <is>
          <t>Critical Access Hospitals</t>
        </is>
      </c>
      <c r="G38" t="inlineStr">
        <is>
          <t>Government - Hospital District or Authority</t>
        </is>
      </c>
      <c r="H38" s="24" t="n">
        <v>146</v>
      </c>
      <c r="I38" t="inlineStr"/>
      <c r="J38" t="inlineStr"/>
      <c r="K38" s="25" t="n">
        <v>-0.1706</v>
      </c>
      <c r="L38" s="24" t="n">
        <v>39.5</v>
      </c>
      <c r="M38" s="24" t="n">
        <v>60.629825</v>
      </c>
      <c r="N38" s="24" t="n">
        <v>108.21</v>
      </c>
      <c r="O38" t="inlineStr">
        <is>
          <t>hcris_derived_with_state_agency</t>
        </is>
      </c>
      <c r="P38" s="26" t="n">
        <v>0.85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KING</t>
        </is>
      </c>
      <c r="F39" t="inlineStr">
        <is>
          <t>Acute Care Hospitals</t>
        </is>
      </c>
      <c r="G39" t="inlineStr">
        <is>
          <t>Voluntary non-profit - Other</t>
        </is>
      </c>
      <c r="H39" s="24" t="n">
        <v>391</v>
      </c>
      <c r="I39" t="inlineStr"/>
      <c r="J39" t="inlineStr"/>
      <c r="K39" s="25" t="n">
        <v>-183761798</v>
      </c>
      <c r="L39" s="24" t="n">
        <v>105.5</v>
      </c>
      <c r="M39" s="24" t="n">
        <v>82.74475</v>
      </c>
      <c r="N39" s="24" t="n">
        <v>160.2</v>
      </c>
      <c r="O39" t="inlineStr">
        <is>
          <t>hcris_derived_with_state_agency</t>
        </is>
      </c>
      <c r="P39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Permanente</t>
        </is>
      </c>
    </row>
    <row r="4">
      <c r="A4" s="6" t="inlineStr">
        <is>
          <t>Scope</t>
        </is>
      </c>
      <c r="B4" s="29" t="inlineStr">
        <is>
          <t>38 hospitals in 5 states (CA, HI, OR, TX, WA)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