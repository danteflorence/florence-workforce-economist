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Kaiser Permanente</t>
        </is>
      </c>
    </row>
    <row r="2">
      <c r="A2" s="2" t="inlineStr">
        <is>
          <t>Scope: 38 hospitals in 5 states (CA, HI, OR, TX, WA)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1574.0946</v>
      </c>
    </row>
    <row r="6">
      <c r="A6" s="6" t="inlineStr">
        <is>
          <t>②  Employer FICA Savings / RN/mo</t>
        </is>
      </c>
      <c r="B6" s="7" t="n">
        <v>787.0473000000001</v>
      </c>
    </row>
    <row r="7">
      <c r="A7" s="6" t="inlineStr">
        <is>
          <t>③  FICA-Adjusted Effective Cost / RN/mo</t>
        </is>
      </c>
      <c r="B7" s="7" t="n">
        <v>787.0473000000001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7851.425399999996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38</v>
      </c>
    </row>
    <row r="15">
      <c r="A15" s="6" t="inlineStr">
        <is>
          <t>Hospitals quotable</t>
        </is>
      </c>
      <c r="B15" s="11" t="n">
        <v>38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9644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1574.0946</v>
      </c>
    </row>
    <row r="26">
      <c r="A26" s="6" t="inlineStr">
        <is>
          <t>− Employer FICA Offset</t>
        </is>
      </c>
      <c r="B26" s="12" t="n">
        <v>-787.0473000000001</v>
      </c>
    </row>
    <row r="27">
      <c r="A27" s="6">
        <f> FICA-Adjusted Effective Cost</f>
        <v/>
      </c>
      <c r="B27" s="12" t="n">
        <v>787.0473000000001</v>
      </c>
    </row>
    <row r="28">
      <c r="A28" s="6" t="inlineStr">
        <is>
          <t>+ Agency Premium Avoided</t>
        </is>
      </c>
      <c r="B28" s="12" t="n">
        <v>9016.335467727116</v>
      </c>
    </row>
    <row r="29">
      <c r="A29" s="6">
        <f> Net Monthly Savings per RN</f>
        <v/>
      </c>
      <c r="B29" s="13" t="n">
        <v>7851.425399999996</v>
      </c>
    </row>
    <row r="32">
      <c r="A32" s="3" t="inlineStr">
        <is>
          <t>PORTFOLIO TOTALS (38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14948605.39202489</v>
      </c>
    </row>
    <row r="34">
      <c r="A34" s="6" t="inlineStr">
        <is>
          <t>Total monthly FICA offset to hospitals</t>
        </is>
      </c>
      <c r="B34" s="14" t="n">
        <v>7474302.696012443</v>
      </c>
    </row>
    <row r="35">
      <c r="A35" s="6" t="inlineStr">
        <is>
          <t>Total monthly FICA-adjusted effective cost</t>
        </is>
      </c>
      <c r="B35" s="14" t="n">
        <v>7474302.696012443</v>
      </c>
    </row>
    <row r="36">
      <c r="A36" s="6" t="inlineStr">
        <is>
          <t>Total monthly agency premium avoided</t>
        </is>
      </c>
      <c r="B36" s="14" t="n">
        <v>86953539.2507603</v>
      </c>
    </row>
    <row r="37">
      <c r="A37" s="6" t="inlineStr">
        <is>
          <t>Total monthly net hospital savings</t>
        </is>
      </c>
      <c r="B37" s="14" t="n">
        <v>79479236.55474786</v>
      </c>
    </row>
    <row r="38">
      <c r="A38" s="6" t="inlineStr">
        <is>
          <t>Term (24mo) Florence fee</t>
        </is>
      </c>
      <c r="B38" s="14" t="n">
        <v>358766529.4085972</v>
      </c>
    </row>
    <row r="39">
      <c r="A39" s="6" t="inlineStr">
        <is>
          <t>Term (24mo) Hospital net savings</t>
        </is>
      </c>
      <c r="B39" s="14" t="n">
        <v>1907501677.313948</v>
      </c>
    </row>
    <row r="40">
      <c r="A40" s="6" t="inlineStr">
        <is>
          <t>Savings : Fee ratio</t>
        </is>
      </c>
      <c r="B40" s="15" t="n">
        <v>5.316832873061872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163528.8876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163528.8876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10138.7910312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2371.168870200001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12509.9599014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1042.49665845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Kaiser Permanente</t>
        </is>
      </c>
      <c r="F2" s="22" t="n">
        <v>153.2</v>
      </c>
      <c r="G2" s="23" t="n">
        <v>87.185175</v>
      </c>
      <c r="H2" s="23" t="n">
        <v>142.89</v>
      </c>
      <c r="I2" s="23" t="n">
        <v>55.70482499999999</v>
      </c>
      <c r="J2" s="24" t="n">
        <v>1574.0946</v>
      </c>
      <c r="K2" s="24" t="n">
        <v>787.0473000000001</v>
      </c>
      <c r="L2" s="24" t="n">
        <v>787.0473000000001</v>
      </c>
      <c r="M2" s="25" t="n">
        <v>0.5</v>
      </c>
      <c r="N2" s="24" t="n">
        <v>8689.952699999998</v>
      </c>
      <c r="O2" s="24" t="n">
        <v>7902.905399999998</v>
      </c>
      <c r="P2" s="24" t="n">
        <v>241158.2760980685</v>
      </c>
      <c r="Q2" s="24" t="n">
        <v>120579.1380490343</v>
      </c>
      <c r="R2" s="24" t="n">
        <v>1210760.168054776</v>
      </c>
      <c r="S2" s="24" t="n">
        <v>5787798.626353645</v>
      </c>
      <c r="T2" s="24" t="n">
        <v>29058244.03331464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Kaiser Permanente</t>
        </is>
      </c>
      <c r="F3" s="22" t="n">
        <v>488.6</v>
      </c>
      <c r="G3" s="23" t="n">
        <v>87.435175</v>
      </c>
      <c r="H3" s="23" t="n">
        <v>142.89</v>
      </c>
      <c r="I3" s="23" t="n">
        <v>55.45482499999999</v>
      </c>
      <c r="J3" s="24" t="n">
        <v>1574.0946</v>
      </c>
      <c r="K3" s="24" t="n">
        <v>787.0473000000001</v>
      </c>
      <c r="L3" s="24" t="n">
        <v>787.0473000000001</v>
      </c>
      <c r="M3" s="25" t="n">
        <v>0.5</v>
      </c>
      <c r="N3" s="24" t="n">
        <v>8650.952699999998</v>
      </c>
      <c r="O3" s="24" t="n">
        <v>7863.905399999998</v>
      </c>
      <c r="P3" s="24" t="n">
        <v>769110.1193065296</v>
      </c>
      <c r="Q3" s="24" t="n">
        <v>384555.0596532648</v>
      </c>
      <c r="R3" s="24" t="n">
        <v>3842341.635889775</v>
      </c>
      <c r="S3" s="24" t="n">
        <v>18458642.86335671</v>
      </c>
      <c r="T3" s="24" t="n">
        <v>92216199.2613546</v>
      </c>
      <c r="U3" t="inlineStr">
        <is>
          <t>target</t>
        </is>
      </c>
      <c r="V3" s="22" t="n">
        <v>0.85</v>
      </c>
      <c r="W3" t="inlineStr">
        <is>
          <t>hcris_derived_with_state_agency</t>
        </is>
      </c>
      <c r="X3" t="b">
        <v>0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Kaiser Permanente</t>
        </is>
      </c>
      <c r="F4" s="22" t="n">
        <v>259.2</v>
      </c>
      <c r="G4" s="23" t="n">
        <v>86.22517500000001</v>
      </c>
      <c r="H4" s="23" t="n">
        <v>142.89</v>
      </c>
      <c r="I4" s="23" t="n">
        <v>56.66482499999998</v>
      </c>
      <c r="J4" s="24" t="n">
        <v>1574.0946</v>
      </c>
      <c r="K4" s="24" t="n">
        <v>787.0473000000001</v>
      </c>
      <c r="L4" s="24" t="n">
        <v>787.0473000000001</v>
      </c>
      <c r="M4" s="25" t="n">
        <v>0.5</v>
      </c>
      <c r="N4" s="24" t="n">
        <v>8839.712699999996</v>
      </c>
      <c r="O4" s="24" t="n">
        <v>8052.665399999996</v>
      </c>
      <c r="P4" s="24" t="n">
        <v>408020.5996902164</v>
      </c>
      <c r="Q4" s="24" t="n">
        <v>204010.2998451082</v>
      </c>
      <c r="R4" s="24" t="n">
        <v>2087329.037030338</v>
      </c>
      <c r="S4" s="24" t="n">
        <v>9792494.392565193</v>
      </c>
      <c r="T4" s="24" t="n">
        <v>50095896.8887281</v>
      </c>
      <c r="U4" t="inlineStr">
        <is>
          <t>target</t>
        </is>
      </c>
      <c r="V4" s="22" t="n">
        <v>0.85</v>
      </c>
      <c r="W4" t="inlineStr">
        <is>
          <t>hcris_derived_with_state_agency</t>
        </is>
      </c>
      <c r="X4" t="b">
        <v>0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Kaiser Permanente</t>
        </is>
      </c>
      <c r="F5" s="22" t="n">
        <v>245</v>
      </c>
      <c r="G5" s="23" t="n">
        <v>84.81517500000001</v>
      </c>
      <c r="H5" s="23" t="n">
        <v>142.89</v>
      </c>
      <c r="I5" s="23" t="n">
        <v>58.07482499999998</v>
      </c>
      <c r="J5" s="24" t="n">
        <v>1574.0946</v>
      </c>
      <c r="K5" s="24" t="n">
        <v>787.0473000000001</v>
      </c>
      <c r="L5" s="24" t="n">
        <v>787.0473000000001</v>
      </c>
      <c r="M5" s="25" t="n">
        <v>0.5</v>
      </c>
      <c r="N5" s="24" t="n">
        <v>9059.672699999996</v>
      </c>
      <c r="O5" s="24" t="n">
        <v>8272.625399999995</v>
      </c>
      <c r="P5" s="24" t="n">
        <v>385608.6506560363</v>
      </c>
      <c r="Q5" s="24" t="n">
        <v>192804.3253280181</v>
      </c>
      <c r="R5" s="24" t="n">
        <v>2026559.215613121</v>
      </c>
      <c r="S5" s="24" t="n">
        <v>9254607.61574487</v>
      </c>
      <c r="T5" s="24" t="n">
        <v>48637421.17471491</v>
      </c>
      <c r="U5" t="inlineStr">
        <is>
          <t>target</t>
        </is>
      </c>
      <c r="V5" s="22" t="n">
        <v>0.85</v>
      </c>
      <c r="W5" t="inlineStr">
        <is>
          <t>hcris_derived_with_state_agency</t>
        </is>
      </c>
      <c r="X5" t="b">
        <v>0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Kaiser Permanente</t>
        </is>
      </c>
      <c r="F6" s="22" t="n">
        <v>501.5</v>
      </c>
      <c r="G6" s="23" t="n">
        <v>87.775175</v>
      </c>
      <c r="H6" s="23" t="n">
        <v>142.89</v>
      </c>
      <c r="I6" s="23" t="n">
        <v>55.11482499999998</v>
      </c>
      <c r="J6" s="24" t="n">
        <v>1574.0946</v>
      </c>
      <c r="K6" s="24" t="n">
        <v>787.0473000000001</v>
      </c>
      <c r="L6" s="24" t="n">
        <v>787.0473000000001</v>
      </c>
      <c r="M6" s="25" t="n">
        <v>0.5</v>
      </c>
      <c r="N6" s="24" t="n">
        <v>8597.912699999997</v>
      </c>
      <c r="O6" s="24" t="n">
        <v>7810.865399999997</v>
      </c>
      <c r="P6" s="24" t="n">
        <v>789392.4642767167</v>
      </c>
      <c r="Q6" s="24" t="n">
        <v>394696.2321383583</v>
      </c>
      <c r="R6" s="24" t="n">
        <v>3917069.715022045</v>
      </c>
      <c r="S6" s="24" t="n">
        <v>18945419.1426412</v>
      </c>
      <c r="T6" s="24" t="n">
        <v>94009673.16052908</v>
      </c>
      <c r="U6" t="inlineStr">
        <is>
          <t>target</t>
        </is>
      </c>
      <c r="V6" s="22" t="n">
        <v>0.85</v>
      </c>
      <c r="W6" t="inlineStr">
        <is>
          <t>hcris_derived_with_state_agency</t>
        </is>
      </c>
      <c r="X6" t="b">
        <v>0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Kaiser Permanente</t>
        </is>
      </c>
      <c r="F7" s="22" t="n">
        <v>261.7</v>
      </c>
      <c r="G7" s="23" t="n">
        <v>86.985175</v>
      </c>
      <c r="H7" s="23" t="n">
        <v>142.89</v>
      </c>
      <c r="I7" s="23" t="n">
        <v>55.90482499999999</v>
      </c>
      <c r="J7" s="24" t="n">
        <v>1574.0946</v>
      </c>
      <c r="K7" s="24" t="n">
        <v>787.0473000000001</v>
      </c>
      <c r="L7" s="24" t="n">
        <v>787.0473000000001</v>
      </c>
      <c r="M7" s="25" t="n">
        <v>0.5</v>
      </c>
      <c r="N7" s="24" t="n">
        <v>8721.152699999999</v>
      </c>
      <c r="O7" s="24" t="n">
        <v>7934.105399999999</v>
      </c>
      <c r="P7" s="24" t="n">
        <v>411915.7586673736</v>
      </c>
      <c r="Q7" s="24" t="n">
        <v>205957.8793336868</v>
      </c>
      <c r="R7" s="24" t="n">
        <v>2076230.389957442</v>
      </c>
      <c r="S7" s="24" t="n">
        <v>9885978.208016966</v>
      </c>
      <c r="T7" s="24" t="n">
        <v>49829529.35897861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Kaiser Permanente</t>
        </is>
      </c>
      <c r="F8" s="22" t="n">
        <v>175.2</v>
      </c>
      <c r="G8" s="23" t="n">
        <v>85.345175</v>
      </c>
      <c r="H8" s="23" t="n">
        <v>142.89</v>
      </c>
      <c r="I8" s="23" t="n">
        <v>57.54482499999999</v>
      </c>
      <c r="J8" s="24" t="n">
        <v>1574.0946</v>
      </c>
      <c r="K8" s="24" t="n">
        <v>787.0473000000001</v>
      </c>
      <c r="L8" s="24" t="n">
        <v>787.0473000000001</v>
      </c>
      <c r="M8" s="25" t="n">
        <v>0.5</v>
      </c>
      <c r="N8" s="24" t="n">
        <v>8976.992699999999</v>
      </c>
      <c r="O8" s="24" t="n">
        <v>8189.945399999999</v>
      </c>
      <c r="P8" s="24" t="n">
        <v>275715.4728971867</v>
      </c>
      <c r="Q8" s="24" t="n">
        <v>137857.7364485934</v>
      </c>
      <c r="R8" s="24" t="n">
        <v>1434535.553938841</v>
      </c>
      <c r="S8" s="24" t="n">
        <v>6617171.349532481</v>
      </c>
      <c r="T8" s="24" t="n">
        <v>34428853.29453219</v>
      </c>
      <c r="U8" t="inlineStr">
        <is>
          <t>target</t>
        </is>
      </c>
      <c r="V8" s="22" t="n">
        <v>0.85</v>
      </c>
      <c r="W8" t="inlineStr">
        <is>
          <t>hcris_derived_with_state_agency</t>
        </is>
      </c>
      <c r="X8" t="b">
        <v>0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Kaiser Permanente</t>
        </is>
      </c>
      <c r="F9" s="22" t="n">
        <v>495.8</v>
      </c>
      <c r="G9" s="23" t="n">
        <v>87.03517500000001</v>
      </c>
      <c r="H9" s="23" t="n">
        <v>142.89</v>
      </c>
      <c r="I9" s="23" t="n">
        <v>55.85482499999998</v>
      </c>
      <c r="J9" s="24" t="n">
        <v>1574.0946</v>
      </c>
      <c r="K9" s="24" t="n">
        <v>787.0473000000001</v>
      </c>
      <c r="L9" s="24" t="n">
        <v>787.0473000000001</v>
      </c>
      <c r="M9" s="25" t="n">
        <v>0.5</v>
      </c>
      <c r="N9" s="24" t="n">
        <v>8713.352699999996</v>
      </c>
      <c r="O9" s="24" t="n">
        <v>7926.305399999996</v>
      </c>
      <c r="P9" s="24" t="n">
        <v>780379.6568850096</v>
      </c>
      <c r="Q9" s="24" t="n">
        <v>390189.8284425048</v>
      </c>
      <c r="R9" s="24" t="n">
        <v>3929577.986239071</v>
      </c>
      <c r="S9" s="24" t="n">
        <v>18729111.76524023</v>
      </c>
      <c r="T9" s="24" t="n">
        <v>94309871.66973768</v>
      </c>
      <c r="U9" t="inlineStr">
        <is>
          <t>target</t>
        </is>
      </c>
      <c r="V9" s="22" t="n">
        <v>0.85</v>
      </c>
      <c r="W9" t="inlineStr">
        <is>
          <t>hcris_derived_with_state_agency</t>
        </is>
      </c>
      <c r="X9" t="b">
        <v>0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Kaiser Permanente</t>
        </is>
      </c>
      <c r="F10" s="22" t="n">
        <v>335.5</v>
      </c>
      <c r="G10" s="23" t="n">
        <v>88.265175</v>
      </c>
      <c r="H10" s="23" t="n">
        <v>142.89</v>
      </c>
      <c r="I10" s="23" t="n">
        <v>54.62482499999999</v>
      </c>
      <c r="J10" s="24" t="n">
        <v>1574.0946</v>
      </c>
      <c r="K10" s="24" t="n">
        <v>787.0473000000001</v>
      </c>
      <c r="L10" s="24" t="n">
        <v>787.0473000000001</v>
      </c>
      <c r="M10" s="25" t="n">
        <v>0.5</v>
      </c>
      <c r="N10" s="24" t="n">
        <v>8521.472699999998</v>
      </c>
      <c r="O10" s="24" t="n">
        <v>7734.425399999998</v>
      </c>
      <c r="P10" s="24" t="n">
        <v>528129.5842046821</v>
      </c>
      <c r="Q10" s="24" t="n">
        <v>264064.7921023411</v>
      </c>
      <c r="R10" s="24" t="n">
        <v>2595002.149530359</v>
      </c>
      <c r="S10" s="24" t="n">
        <v>12675110.02091237</v>
      </c>
      <c r="T10" s="24" t="n">
        <v>62280051.58872861</v>
      </c>
      <c r="U10" t="inlineStr">
        <is>
          <t>target</t>
        </is>
      </c>
      <c r="V10" s="22" t="n">
        <v>0.85</v>
      </c>
      <c r="W10" t="inlineStr">
        <is>
          <t>hcris_derived_with_state_agency</t>
        </is>
      </c>
      <c r="X10" t="b">
        <v>0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Kaiser Permanente</t>
        </is>
      </c>
      <c r="F11" s="22" t="n">
        <v>593.1</v>
      </c>
      <c r="G11" s="23" t="n">
        <v>88.36517500000001</v>
      </c>
      <c r="H11" s="23" t="n">
        <v>142.89</v>
      </c>
      <c r="I11" s="23" t="n">
        <v>54.52482499999998</v>
      </c>
      <c r="J11" s="24" t="n">
        <v>1574.0946</v>
      </c>
      <c r="K11" s="24" t="n">
        <v>787.0473000000001</v>
      </c>
      <c r="L11" s="24" t="n">
        <v>787.0473000000001</v>
      </c>
      <c r="M11" s="25" t="n">
        <v>0.5</v>
      </c>
      <c r="N11" s="24" t="n">
        <v>8505.872699999996</v>
      </c>
      <c r="O11" s="24" t="n">
        <v>7718.825399999996</v>
      </c>
      <c r="P11" s="24" t="n">
        <v>933574.0198776824</v>
      </c>
      <c r="Q11" s="24" t="n">
        <v>466787.0099388412</v>
      </c>
      <c r="R11" s="24" t="n">
        <v>4577929.977913625</v>
      </c>
      <c r="S11" s="24" t="n">
        <v>22405776.47706437</v>
      </c>
      <c r="T11" s="24" t="n">
        <v>109870319.469927</v>
      </c>
      <c r="U11" t="inlineStr">
        <is>
          <t>target</t>
        </is>
      </c>
      <c r="V11" s="22" t="n">
        <v>0.85</v>
      </c>
      <c r="W11" t="inlineStr">
        <is>
          <t>hcris_derived_with_state_agency</t>
        </is>
      </c>
      <c r="X11" t="b">
        <v>0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Kaiser Permanente</t>
        </is>
      </c>
      <c r="F12" s="22" t="n">
        <v>244.3</v>
      </c>
      <c r="G12" s="23" t="n">
        <v>87.59517500000001</v>
      </c>
      <c r="H12" s="23" t="n">
        <v>142.89</v>
      </c>
      <c r="I12" s="23" t="n">
        <v>55.29482499999997</v>
      </c>
      <c r="J12" s="24" t="n">
        <v>1574.0946</v>
      </c>
      <c r="K12" s="24" t="n">
        <v>787.0473000000001</v>
      </c>
      <c r="L12" s="24" t="n">
        <v>787.0473000000001</v>
      </c>
      <c r="M12" s="25" t="n">
        <v>0.5</v>
      </c>
      <c r="N12" s="24" t="n">
        <v>8625.992699999995</v>
      </c>
      <c r="O12" s="24" t="n">
        <v>7838.945399999995</v>
      </c>
      <c r="P12" s="24" t="n">
        <v>384515.7871551964</v>
      </c>
      <c r="Q12" s="24" t="n">
        <v>192257.8935775982</v>
      </c>
      <c r="R12" s="24" t="n">
        <v>1914877.454599999</v>
      </c>
      <c r="S12" s="24" t="n">
        <v>9228378.891724713</v>
      </c>
      <c r="T12" s="24" t="n">
        <v>45957058.91039997</v>
      </c>
      <c r="U12" t="inlineStr">
        <is>
          <t>target</t>
        </is>
      </c>
      <c r="V12" s="22" t="n">
        <v>0.85</v>
      </c>
      <c r="W12" t="inlineStr">
        <is>
          <t>hcris_derived_with_state_agency</t>
        </is>
      </c>
      <c r="X12" t="b">
        <v>0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Kaiser Permanente</t>
        </is>
      </c>
      <c r="F13" s="22" t="n">
        <v>358.4</v>
      </c>
      <c r="G13" s="23" t="n">
        <v>86.955175</v>
      </c>
      <c r="H13" s="23" t="n">
        <v>142.89</v>
      </c>
      <c r="I13" s="23" t="n">
        <v>55.93482499999999</v>
      </c>
      <c r="J13" s="24" t="n">
        <v>1574.0946</v>
      </c>
      <c r="K13" s="24" t="n">
        <v>787.0473000000001</v>
      </c>
      <c r="L13" s="24" t="n">
        <v>787.0473000000001</v>
      </c>
      <c r="M13" s="25" t="n">
        <v>0.5</v>
      </c>
      <c r="N13" s="24" t="n">
        <v>8725.832699999999</v>
      </c>
      <c r="O13" s="24" t="n">
        <v>7938.785399999999</v>
      </c>
      <c r="P13" s="24" t="n">
        <v>564129.8938360489</v>
      </c>
      <c r="Q13" s="24" t="n">
        <v>282064.9469180244</v>
      </c>
      <c r="R13" s="24" t="n">
        <v>2845131.521885136</v>
      </c>
      <c r="S13" s="24" t="n">
        <v>13539117.45206517</v>
      </c>
      <c r="T13" s="24" t="n">
        <v>68283156.52524325</v>
      </c>
      <c r="U13" t="inlineStr">
        <is>
          <t>target</t>
        </is>
      </c>
      <c r="V13" s="22" t="n">
        <v>0.85</v>
      </c>
      <c r="W13" t="inlineStr">
        <is>
          <t>hcris_derived_with_state_agency</t>
        </is>
      </c>
      <c r="X13" t="b">
        <v>0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Kaiser Permanente</t>
        </is>
      </c>
      <c r="F14" s="22" t="n">
        <v>131</v>
      </c>
      <c r="G14" s="23" t="n">
        <v>86.465175</v>
      </c>
      <c r="H14" s="23" t="n">
        <v>142.89</v>
      </c>
      <c r="I14" s="23" t="n">
        <v>56.42482499999998</v>
      </c>
      <c r="J14" s="24" t="n">
        <v>1574.0946</v>
      </c>
      <c r="K14" s="24" t="n">
        <v>787.0473000000001</v>
      </c>
      <c r="L14" s="24" t="n">
        <v>787.0473000000001</v>
      </c>
      <c r="M14" s="25" t="n">
        <v>0.5</v>
      </c>
      <c r="N14" s="24" t="n">
        <v>8802.272699999998</v>
      </c>
      <c r="O14" s="24" t="n">
        <v>8015.225399999998</v>
      </c>
      <c r="P14" s="24" t="n">
        <v>206214.3538713206</v>
      </c>
      <c r="Q14" s="24" t="n">
        <v>103107.1769356603</v>
      </c>
      <c r="R14" s="24" t="n">
        <v>1050035.065868339</v>
      </c>
      <c r="S14" s="24" t="n">
        <v>4949144.492911695</v>
      </c>
      <c r="T14" s="24" t="n">
        <v>25200841.58084014</v>
      </c>
      <c r="U14" t="inlineStr">
        <is>
          <t>target</t>
        </is>
      </c>
      <c r="V14" s="22" t="n">
        <v>0.85</v>
      </c>
      <c r="W14" t="inlineStr">
        <is>
          <t>hcris_derived_with_state_agency</t>
        </is>
      </c>
      <c r="X14" t="b">
        <v>0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Kaiser Permanente</t>
        </is>
      </c>
      <c r="F15" s="22" t="n">
        <v>150.2</v>
      </c>
      <c r="G15" s="23" t="n">
        <v>88.925175</v>
      </c>
      <c r="H15" s="23" t="n">
        <v>142.89</v>
      </c>
      <c r="I15" s="23" t="n">
        <v>53.96482499999999</v>
      </c>
      <c r="J15" s="24" t="n">
        <v>1574.0946</v>
      </c>
      <c r="K15" s="24" t="n">
        <v>787.0473000000001</v>
      </c>
      <c r="L15" s="24" t="n">
        <v>787.0473000000001</v>
      </c>
      <c r="M15" s="25" t="n">
        <v>0.5</v>
      </c>
      <c r="N15" s="24" t="n">
        <v>8418.512699999999</v>
      </c>
      <c r="O15" s="24" t="n">
        <v>7631.465399999999</v>
      </c>
      <c r="P15" s="24" t="n">
        <v>236391.1566551124</v>
      </c>
      <c r="Q15" s="24" t="n">
        <v>118195.5783275562</v>
      </c>
      <c r="R15" s="24" t="n">
        <v>1146062.589173147</v>
      </c>
      <c r="S15" s="24" t="n">
        <v>5673387.759722698</v>
      </c>
      <c r="T15" s="24" t="n">
        <v>27505502.14015554</v>
      </c>
      <c r="U15" t="inlineStr">
        <is>
          <t>target</t>
        </is>
      </c>
      <c r="V15" s="22" t="n">
        <v>0.85</v>
      </c>
      <c r="W15" t="inlineStr">
        <is>
          <t>hcris_derived_with_state_agency</t>
        </is>
      </c>
      <c r="X15" t="b">
        <v>0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Kaiser Permanente</t>
        </is>
      </c>
      <c r="F16" s="22" t="n">
        <v>499.5</v>
      </c>
      <c r="G16" s="23" t="n">
        <v>87.06517500000001</v>
      </c>
      <c r="H16" s="23" t="n">
        <v>142.89</v>
      </c>
      <c r="I16" s="23" t="n">
        <v>55.82482499999998</v>
      </c>
      <c r="J16" s="24" t="n">
        <v>1574.0946</v>
      </c>
      <c r="K16" s="24" t="n">
        <v>787.0473000000001</v>
      </c>
      <c r="L16" s="24" t="n">
        <v>787.0473000000001</v>
      </c>
      <c r="M16" s="25" t="n">
        <v>0.5</v>
      </c>
      <c r="N16" s="24" t="n">
        <v>8708.672699999996</v>
      </c>
      <c r="O16" s="24" t="n">
        <v>7921.625399999995</v>
      </c>
      <c r="P16" s="24" t="n">
        <v>786265.9641389251</v>
      </c>
      <c r="Q16" s="24" t="n">
        <v>393132.9820694625</v>
      </c>
      <c r="R16" s="24" t="n">
        <v>3956880.630095799</v>
      </c>
      <c r="S16" s="24" t="n">
        <v>18870383.1393342</v>
      </c>
      <c r="T16" s="24" t="n">
        <v>94965135.12229915</v>
      </c>
      <c r="U16" t="inlineStr">
        <is>
          <t>target</t>
        </is>
      </c>
      <c r="V16" s="22" t="n">
        <v>0.85</v>
      </c>
      <c r="W16" t="inlineStr">
        <is>
          <t>hcris_derived_with_state_agency</t>
        </is>
      </c>
      <c r="X16" t="b">
        <v>0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Kaiser Permanente</t>
        </is>
      </c>
      <c r="F17" s="22" t="n">
        <v>186.9</v>
      </c>
      <c r="G17" s="23" t="n">
        <v>87.165175</v>
      </c>
      <c r="H17" s="23" t="n">
        <v>142.89</v>
      </c>
      <c r="I17" s="23" t="n">
        <v>55.72482499999998</v>
      </c>
      <c r="J17" s="24" t="n">
        <v>1574.0946</v>
      </c>
      <c r="K17" s="24" t="n">
        <v>787.0473000000001</v>
      </c>
      <c r="L17" s="24" t="n">
        <v>787.0473000000001</v>
      </c>
      <c r="M17" s="25" t="n">
        <v>0.5</v>
      </c>
      <c r="N17" s="24" t="n">
        <v>8693.072699999997</v>
      </c>
      <c r="O17" s="24" t="n">
        <v>7906.025399999997</v>
      </c>
      <c r="P17" s="24" t="n">
        <v>294154.556878627</v>
      </c>
      <c r="Q17" s="24" t="n">
        <v>147077.2784393135</v>
      </c>
      <c r="R17" s="24" t="n">
        <v>1477416.540408797</v>
      </c>
      <c r="S17" s="24" t="n">
        <v>7059709.365087048</v>
      </c>
      <c r="T17" s="24" t="n">
        <v>35457996.96981112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Kaiser Permanente</t>
        </is>
      </c>
      <c r="F18" s="22" t="n">
        <v>193.5</v>
      </c>
      <c r="G18" s="23" t="n">
        <v>87.705175</v>
      </c>
      <c r="H18" s="23" t="n">
        <v>142.89</v>
      </c>
      <c r="I18" s="23" t="n">
        <v>55.18482499999999</v>
      </c>
      <c r="J18" s="24" t="n">
        <v>1574.0946</v>
      </c>
      <c r="K18" s="24" t="n">
        <v>787.0473000000001</v>
      </c>
      <c r="L18" s="24" t="n">
        <v>787.0473000000001</v>
      </c>
      <c r="M18" s="25" t="n">
        <v>0.5</v>
      </c>
      <c r="N18" s="24" t="n">
        <v>8608.832699999999</v>
      </c>
      <c r="O18" s="24" t="n">
        <v>7821.785399999999</v>
      </c>
      <c r="P18" s="24" t="n">
        <v>304597.122165274</v>
      </c>
      <c r="Q18" s="24" t="n">
        <v>152298.561082637</v>
      </c>
      <c r="R18" s="24" t="n">
        <v>1513564.256579215</v>
      </c>
      <c r="S18" s="24" t="n">
        <v>7310330.931966576</v>
      </c>
      <c r="T18" s="24" t="n">
        <v>36325542.15790115</v>
      </c>
      <c r="U18" t="inlineStr">
        <is>
          <t>target</t>
        </is>
      </c>
      <c r="V18" s="22" t="n">
        <v>0.85</v>
      </c>
      <c r="W18" t="inlineStr">
        <is>
          <t>hcris_derived_with_state_agency</t>
        </is>
      </c>
      <c r="X18" t="b">
        <v>0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Kaiser Permanente</t>
        </is>
      </c>
      <c r="F19" s="22" t="n">
        <v>264.4</v>
      </c>
      <c r="G19" s="23" t="n">
        <v>87.275175</v>
      </c>
      <c r="H19" s="23" t="n">
        <v>142.89</v>
      </c>
      <c r="I19" s="23" t="n">
        <v>55.61482499999998</v>
      </c>
      <c r="J19" s="24" t="n">
        <v>1574.0946</v>
      </c>
      <c r="K19" s="24" t="n">
        <v>787.0473000000001</v>
      </c>
      <c r="L19" s="24" t="n">
        <v>787.0473000000001</v>
      </c>
      <c r="M19" s="25" t="n">
        <v>0.5</v>
      </c>
      <c r="N19" s="24" t="n">
        <v>8675.912699999997</v>
      </c>
      <c r="O19" s="24" t="n">
        <v>7888.865399999997</v>
      </c>
      <c r="P19" s="24" t="n">
        <v>416132.7496014068</v>
      </c>
      <c r="Q19" s="24" t="n">
        <v>208066.3748007034</v>
      </c>
      <c r="R19" s="24" t="n">
        <v>2085526.022475015</v>
      </c>
      <c r="S19" s="24" t="n">
        <v>9987185.990433764</v>
      </c>
      <c r="T19" s="24" t="n">
        <v>50052624.53940038</v>
      </c>
      <c r="U19" t="inlineStr">
        <is>
          <t>target</t>
        </is>
      </c>
      <c r="V19" s="22" t="n">
        <v>0.85</v>
      </c>
      <c r="W19" t="inlineStr">
        <is>
          <t>hcris_derived_with_state_agency</t>
        </is>
      </c>
      <c r="X19" t="b">
        <v>0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Kaiser Permanente</t>
        </is>
      </c>
      <c r="F20" s="22" t="n">
        <v>395.1</v>
      </c>
      <c r="G20" s="23" t="n">
        <v>88.22517500000001</v>
      </c>
      <c r="H20" s="23" t="n">
        <v>142.89</v>
      </c>
      <c r="I20" s="23" t="n">
        <v>54.66482499999998</v>
      </c>
      <c r="J20" s="24" t="n">
        <v>1574.0946</v>
      </c>
      <c r="K20" s="24" t="n">
        <v>787.0473000000001</v>
      </c>
      <c r="L20" s="24" t="n">
        <v>787.0473000000001</v>
      </c>
      <c r="M20" s="25" t="n">
        <v>0.5</v>
      </c>
      <c r="N20" s="24" t="n">
        <v>8527.712699999996</v>
      </c>
      <c r="O20" s="24" t="n">
        <v>7740.665399999996</v>
      </c>
      <c r="P20" s="24" t="n">
        <v>621983.9737449299</v>
      </c>
      <c r="Q20" s="24" t="n">
        <v>310991.9868724649</v>
      </c>
      <c r="R20" s="24" t="n">
        <v>3058628.004264728</v>
      </c>
      <c r="S20" s="24" t="n">
        <v>14927615.36987832</v>
      </c>
      <c r="T20" s="24" t="n">
        <v>73407072.10235345</v>
      </c>
      <c r="U20" t="inlineStr">
        <is>
          <t>target</t>
        </is>
      </c>
      <c r="V20" s="22" t="n">
        <v>0.85</v>
      </c>
      <c r="W20" t="inlineStr">
        <is>
          <t>hcris_derived_with_state_agency</t>
        </is>
      </c>
      <c r="X20" t="b">
        <v>0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Kaiser Permanente</t>
        </is>
      </c>
      <c r="F21" s="22" t="n">
        <v>400.5</v>
      </c>
      <c r="G21" s="23" t="n">
        <v>87.75517500000001</v>
      </c>
      <c r="H21" s="23" t="n">
        <v>142.89</v>
      </c>
      <c r="I21" s="23" t="n">
        <v>55.13482499999998</v>
      </c>
      <c r="J21" s="24" t="n">
        <v>1574.0946</v>
      </c>
      <c r="K21" s="24" t="n">
        <v>787.0473000000001</v>
      </c>
      <c r="L21" s="24" t="n">
        <v>787.0473000000001</v>
      </c>
      <c r="M21" s="25" t="n">
        <v>0.5</v>
      </c>
      <c r="N21" s="24" t="n">
        <v>8601.032699999996</v>
      </c>
      <c r="O21" s="24" t="n">
        <v>7813.985399999996</v>
      </c>
      <c r="P21" s="24" t="n">
        <v>630424.6246077054</v>
      </c>
      <c r="Q21" s="24" t="n">
        <v>315212.3123038527</v>
      </c>
      <c r="R21" s="24" t="n">
        <v>3129499.848665441</v>
      </c>
      <c r="S21" s="24" t="n">
        <v>15130190.99058493</v>
      </c>
      <c r="T21" s="24" t="n">
        <v>75107996.36797057</v>
      </c>
      <c r="U21" t="inlineStr">
        <is>
          <t>target</t>
        </is>
      </c>
      <c r="V21" s="22" t="n">
        <v>0.85</v>
      </c>
      <c r="W21" t="inlineStr">
        <is>
          <t>hcris_derived_with_state_agency</t>
        </is>
      </c>
      <c r="X21" t="b">
        <v>0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Kaiser Permanente</t>
        </is>
      </c>
      <c r="F22" s="22" t="n">
        <v>191.8</v>
      </c>
      <c r="G22" s="23" t="n">
        <v>88.375175</v>
      </c>
      <c r="H22" s="23" t="n">
        <v>142.89</v>
      </c>
      <c r="I22" s="23" t="n">
        <v>54.51482499999999</v>
      </c>
      <c r="J22" s="24" t="n">
        <v>1574.0946</v>
      </c>
      <c r="K22" s="24" t="n">
        <v>787.0473000000001</v>
      </c>
      <c r="L22" s="24" t="n">
        <v>787.0473000000001</v>
      </c>
      <c r="M22" s="25" t="n">
        <v>0.5</v>
      </c>
      <c r="N22" s="24" t="n">
        <v>8504.312699999999</v>
      </c>
      <c r="O22" s="24" t="n">
        <v>7717.265399999998</v>
      </c>
      <c r="P22" s="24" t="n">
        <v>301899.8739480581</v>
      </c>
      <c r="Q22" s="24" t="n">
        <v>150949.936974029</v>
      </c>
      <c r="R22" s="24" t="n">
        <v>1480115.268474785</v>
      </c>
      <c r="S22" s="24" t="n">
        <v>7245596.974753393</v>
      </c>
      <c r="T22" s="24" t="n">
        <v>35522766.44339484</v>
      </c>
      <c r="U22" t="inlineStr">
        <is>
          <t>target</t>
        </is>
      </c>
      <c r="V22" s="22" t="n">
        <v>0.85</v>
      </c>
      <c r="W22" t="inlineStr">
        <is>
          <t>hcris_derived_with_state_agency</t>
        </is>
      </c>
      <c r="X22" t="b">
        <v>0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Kaiser Permanente</t>
        </is>
      </c>
      <c r="F23" s="22" t="n">
        <v>188.1</v>
      </c>
      <c r="G23" s="23" t="n">
        <v>86.425175</v>
      </c>
      <c r="H23" s="23" t="n">
        <v>142.89</v>
      </c>
      <c r="I23" s="23" t="n">
        <v>56.46482499999999</v>
      </c>
      <c r="J23" s="24" t="n">
        <v>1574.0946</v>
      </c>
      <c r="K23" s="24" t="n">
        <v>787.0473000000001</v>
      </c>
      <c r="L23" s="24" t="n">
        <v>787.0473000000001</v>
      </c>
      <c r="M23" s="25" t="n">
        <v>0.5</v>
      </c>
      <c r="N23" s="24" t="n">
        <v>8808.512699999999</v>
      </c>
      <c r="O23" s="24" t="n">
        <v>8021.465399999999</v>
      </c>
      <c r="P23" s="24" t="n">
        <v>296049.6529888936</v>
      </c>
      <c r="Q23" s="24" t="n">
        <v>148024.8264944468</v>
      </c>
      <c r="R23" s="24" t="n">
        <v>1508646.33430063</v>
      </c>
      <c r="S23" s="24" t="n">
        <v>7105191.671733446</v>
      </c>
      <c r="T23" s="24" t="n">
        <v>36207512.02321512</v>
      </c>
      <c r="U23" t="inlineStr">
        <is>
          <t>target</t>
        </is>
      </c>
      <c r="V23" s="22" t="n">
        <v>0.85</v>
      </c>
      <c r="W23" t="inlineStr">
        <is>
          <t>hcris_derived_with_state_agency</t>
        </is>
      </c>
      <c r="X23" t="b">
        <v>0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Kaiser Permanente</t>
        </is>
      </c>
      <c r="F24" s="22" t="n">
        <v>194.1</v>
      </c>
      <c r="G24" s="23" t="n">
        <v>87.08517500000001</v>
      </c>
      <c r="H24" s="23" t="n">
        <v>142.89</v>
      </c>
      <c r="I24" s="23" t="n">
        <v>55.80482499999998</v>
      </c>
      <c r="J24" s="24" t="n">
        <v>1574.0946</v>
      </c>
      <c r="K24" s="24" t="n">
        <v>787.0473000000001</v>
      </c>
      <c r="L24" s="24" t="n">
        <v>787.0473000000001</v>
      </c>
      <c r="M24" s="25" t="n">
        <v>0.5</v>
      </c>
      <c r="N24" s="24" t="n">
        <v>8705.552699999997</v>
      </c>
      <c r="O24" s="24" t="n">
        <v>7918.505399999996</v>
      </c>
      <c r="P24" s="24" t="n">
        <v>305458.1470050599</v>
      </c>
      <c r="Q24" s="24" t="n">
        <v>152729.07350253</v>
      </c>
      <c r="R24" s="24" t="n">
        <v>1536611.57755929</v>
      </c>
      <c r="S24" s="24" t="n">
        <v>7330995.528121438</v>
      </c>
      <c r="T24" s="24" t="n">
        <v>36878677.86142296</v>
      </c>
      <c r="U24" t="inlineStr">
        <is>
          <t>target</t>
        </is>
      </c>
      <c r="V24" s="22" t="n">
        <v>0.85</v>
      </c>
      <c r="W24" t="inlineStr">
        <is>
          <t>hcris_derived_with_state_agency</t>
        </is>
      </c>
      <c r="X24" t="b">
        <v>0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Kaiser Permanente</t>
        </is>
      </c>
      <c r="F25" s="22" t="n">
        <v>168</v>
      </c>
      <c r="G25" s="23" t="n">
        <v>88.325175</v>
      </c>
      <c r="H25" s="23" t="n">
        <v>142.89</v>
      </c>
      <c r="I25" s="23" t="n">
        <v>54.56482499999998</v>
      </c>
      <c r="J25" s="24" t="n">
        <v>1574.0946</v>
      </c>
      <c r="K25" s="24" t="n">
        <v>787.0473000000001</v>
      </c>
      <c r="L25" s="24" t="n">
        <v>787.0473000000001</v>
      </c>
      <c r="M25" s="25" t="n">
        <v>0.5</v>
      </c>
      <c r="N25" s="24" t="n">
        <v>8512.112699999998</v>
      </c>
      <c r="O25" s="24" t="n">
        <v>7725.065399999998</v>
      </c>
      <c r="P25" s="24" t="n">
        <v>264438.0503128911</v>
      </c>
      <c r="Q25" s="24" t="n">
        <v>132219.0251564455</v>
      </c>
      <c r="R25" s="24" t="n">
        <v>1297762.683968024</v>
      </c>
      <c r="S25" s="24" t="n">
        <v>6346513.207509386</v>
      </c>
      <c r="T25" s="24" t="n">
        <v>31146304.41523258</v>
      </c>
      <c r="U25" t="inlineStr">
        <is>
          <t>target</t>
        </is>
      </c>
      <c r="V25" s="22" t="n">
        <v>0.85</v>
      </c>
      <c r="W25" t="inlineStr">
        <is>
          <t>hcris_derived_with_state_agency</t>
        </is>
      </c>
      <c r="X25" t="b">
        <v>0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Kaiser Permanente</t>
        </is>
      </c>
      <c r="F26" s="22" t="n">
        <v>262.7</v>
      </c>
      <c r="G26" s="23" t="n">
        <v>87.75517500000001</v>
      </c>
      <c r="H26" s="23" t="n">
        <v>142.89</v>
      </c>
      <c r="I26" s="23" t="n">
        <v>55.13482499999998</v>
      </c>
      <c r="J26" s="24" t="n">
        <v>1574.0946</v>
      </c>
      <c r="K26" s="24" t="n">
        <v>787.0473000000001</v>
      </c>
      <c r="L26" s="24" t="n">
        <v>787.0473000000001</v>
      </c>
      <c r="M26" s="25" t="n">
        <v>0.5</v>
      </c>
      <c r="N26" s="24" t="n">
        <v>8601.032699999996</v>
      </c>
      <c r="O26" s="24" t="n">
        <v>7813.985399999996</v>
      </c>
      <c r="P26" s="24" t="n">
        <v>413552.4969057318</v>
      </c>
      <c r="Q26" s="24" t="n">
        <v>206776.2484528659</v>
      </c>
      <c r="R26" s="24" t="n">
        <v>2052921.833894184</v>
      </c>
      <c r="S26" s="24" t="n">
        <v>9925259.925737564</v>
      </c>
      <c r="T26" s="24" t="n">
        <v>49270124.01346041</v>
      </c>
      <c r="U26" t="inlineStr">
        <is>
          <t>target</t>
        </is>
      </c>
      <c r="V26" s="22" t="n">
        <v>0.85</v>
      </c>
      <c r="W26" t="inlineStr">
        <is>
          <t>hcris_derived_with_state_agency</t>
        </is>
      </c>
      <c r="X26" t="b">
        <v>0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Kaiser Permanente</t>
        </is>
      </c>
      <c r="F27" s="22" t="n">
        <v>291.3</v>
      </c>
      <c r="G27" s="23" t="n">
        <v>88.50517500000001</v>
      </c>
      <c r="H27" s="23" t="n">
        <v>142.89</v>
      </c>
      <c r="I27" s="23" t="n">
        <v>54.38482499999998</v>
      </c>
      <c r="J27" s="24" t="n">
        <v>1574.0946</v>
      </c>
      <c r="K27" s="24" t="n">
        <v>787.0473000000001</v>
      </c>
      <c r="L27" s="24" t="n">
        <v>787.0473000000001</v>
      </c>
      <c r="M27" s="25" t="n">
        <v>0.5</v>
      </c>
      <c r="N27" s="24" t="n">
        <v>8484.032699999996</v>
      </c>
      <c r="O27" s="24" t="n">
        <v>7696.985399999996</v>
      </c>
      <c r="P27" s="24" t="n">
        <v>458501.8517297083</v>
      </c>
      <c r="Q27" s="24" t="n">
        <v>229250.9258648542</v>
      </c>
      <c r="R27" s="24" t="n">
        <v>2241975.837180641</v>
      </c>
      <c r="S27" s="24" t="n">
        <v>11004044.441513</v>
      </c>
      <c r="T27" s="24" t="n">
        <v>53807420.0923354</v>
      </c>
      <c r="U27" t="inlineStr">
        <is>
          <t>target</t>
        </is>
      </c>
      <c r="V27" s="22" t="n">
        <v>0.85</v>
      </c>
      <c r="W27" t="inlineStr">
        <is>
          <t>hcris_derived_with_state_agency</t>
        </is>
      </c>
      <c r="X27" t="b">
        <v>0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Kaiser Permanente</t>
        </is>
      </c>
      <c r="F28" s="22" t="n">
        <v>187.2</v>
      </c>
      <c r="G28" s="23" t="n">
        <v>88.635175</v>
      </c>
      <c r="H28" s="23" t="n">
        <v>142.89</v>
      </c>
      <c r="I28" s="23" t="n">
        <v>54.25482499999998</v>
      </c>
      <c r="J28" s="24" t="n">
        <v>1574.0946</v>
      </c>
      <c r="K28" s="24" t="n">
        <v>787.0473000000001</v>
      </c>
      <c r="L28" s="24" t="n">
        <v>787.0473000000001</v>
      </c>
      <c r="M28" s="25" t="n">
        <v>0.5</v>
      </c>
      <c r="N28" s="24" t="n">
        <v>8463.752699999997</v>
      </c>
      <c r="O28" s="24" t="n">
        <v>7676.705399999997</v>
      </c>
      <c r="P28" s="24" t="n">
        <v>294595.0240654001</v>
      </c>
      <c r="Q28" s="24" t="n">
        <v>147297.5120327</v>
      </c>
      <c r="R28" s="24" t="n">
        <v>1436711.117652005</v>
      </c>
      <c r="S28" s="24" t="n">
        <v>7070280.577569601</v>
      </c>
      <c r="T28" s="24" t="n">
        <v>34481066.82364812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Kaiser Permanente</t>
        </is>
      </c>
      <c r="F29" s="22" t="n">
        <v>132.9</v>
      </c>
      <c r="G29" s="23" t="n">
        <v>91.355175</v>
      </c>
      <c r="H29" s="23" t="n">
        <v>142.89</v>
      </c>
      <c r="I29" s="23" t="n">
        <v>51.53482499999998</v>
      </c>
      <c r="J29" s="24" t="n">
        <v>1574.0946</v>
      </c>
      <c r="K29" s="24" t="n">
        <v>787.0473000000001</v>
      </c>
      <c r="L29" s="24" t="n">
        <v>787.0473000000001</v>
      </c>
      <c r="M29" s="25" t="n">
        <v>0.5</v>
      </c>
      <c r="N29" s="24" t="n">
        <v>8039.432699999998</v>
      </c>
      <c r="O29" s="24" t="n">
        <v>7252.385399999997</v>
      </c>
      <c r="P29" s="24" t="n">
        <v>209132.9584796347</v>
      </c>
      <c r="Q29" s="24" t="n">
        <v>104566.4792398174</v>
      </c>
      <c r="R29" s="24" t="n">
        <v>963546.1647200292</v>
      </c>
      <c r="S29" s="24" t="n">
        <v>5019191.003511233</v>
      </c>
      <c r="T29" s="24" t="n">
        <v>23125107.9532807</v>
      </c>
      <c r="U29" t="inlineStr">
        <is>
          <t>target</t>
        </is>
      </c>
      <c r="V29" s="22" t="n">
        <v>0.85</v>
      </c>
      <c r="W29" t="inlineStr">
        <is>
          <t>hcris_derived_with_state_agency</t>
        </is>
      </c>
      <c r="X29" t="b">
        <v>0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Kaiser Permanente</t>
        </is>
      </c>
      <c r="F30" s="22" t="n">
        <v>147.2</v>
      </c>
      <c r="G30" s="23" t="n">
        <v>88.685175</v>
      </c>
      <c r="H30" s="23" t="n">
        <v>142.89</v>
      </c>
      <c r="I30" s="23" t="n">
        <v>54.20482499999999</v>
      </c>
      <c r="J30" s="24" t="n">
        <v>1574.0946</v>
      </c>
      <c r="K30" s="24" t="n">
        <v>787.0473000000001</v>
      </c>
      <c r="L30" s="24" t="n">
        <v>787.0473000000001</v>
      </c>
      <c r="M30" s="25" t="n">
        <v>0.5</v>
      </c>
      <c r="N30" s="24" t="n">
        <v>8455.952699999998</v>
      </c>
      <c r="O30" s="24" t="n">
        <v>7668.905399999998</v>
      </c>
      <c r="P30" s="24" t="n">
        <v>231674.6478486249</v>
      </c>
      <c r="Q30" s="24" t="n">
        <v>115837.3239243124</v>
      </c>
      <c r="R30" s="24" t="n">
        <v>1128706.596115263</v>
      </c>
      <c r="S30" s="24" t="n">
        <v>5560191.548366996</v>
      </c>
      <c r="T30" s="24" t="n">
        <v>27088958.30676632</v>
      </c>
      <c r="U30" t="inlineStr">
        <is>
          <t>target</t>
        </is>
      </c>
      <c r="V30" s="22" t="n">
        <v>0.85</v>
      </c>
      <c r="W30" t="inlineStr">
        <is>
          <t>hcris_derived_with_state_agency</t>
        </is>
      </c>
      <c r="X30" t="b">
        <v>0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Kaiser Permanente</t>
        </is>
      </c>
      <c r="F31" s="22" t="n">
        <v>487</v>
      </c>
      <c r="G31" s="23" t="n">
        <v>87.995175</v>
      </c>
      <c r="H31" s="23" t="n">
        <v>142.89</v>
      </c>
      <c r="I31" s="23" t="n">
        <v>54.89482499999998</v>
      </c>
      <c r="J31" s="24" t="n">
        <v>1574.0946</v>
      </c>
      <c r="K31" s="24" t="n">
        <v>787.0473000000001</v>
      </c>
      <c r="L31" s="24" t="n">
        <v>787.0473000000001</v>
      </c>
      <c r="M31" s="25" t="n">
        <v>0.5</v>
      </c>
      <c r="N31" s="24" t="n">
        <v>8563.592699999997</v>
      </c>
      <c r="O31" s="24" t="n">
        <v>7776.545399999997</v>
      </c>
      <c r="P31" s="24" t="n">
        <v>766558.5678625448</v>
      </c>
      <c r="Q31" s="24" t="n">
        <v>383279.2839312724</v>
      </c>
      <c r="R31" s="24" t="n">
        <v>3787051.619859479</v>
      </c>
      <c r="S31" s="24" t="n">
        <v>18397405.62870108</v>
      </c>
      <c r="T31" s="24" t="n">
        <v>90889238.8766275</v>
      </c>
      <c r="U31" t="inlineStr">
        <is>
          <t>target</t>
        </is>
      </c>
      <c r="V31" s="22" t="n">
        <v>0.85</v>
      </c>
      <c r="W31" t="inlineStr">
        <is>
          <t>hcris_derived_with_state_agency</t>
        </is>
      </c>
      <c r="X31" t="b">
        <v>0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Kaiser Permanente</t>
        </is>
      </c>
      <c r="F32" s="22" t="n">
        <v>254.7</v>
      </c>
      <c r="G32" s="23" t="n">
        <v>86.935175</v>
      </c>
      <c r="H32" s="23" t="n">
        <v>142.89</v>
      </c>
      <c r="I32" s="23" t="n">
        <v>55.95482499999999</v>
      </c>
      <c r="J32" s="24" t="n">
        <v>1574.0946</v>
      </c>
      <c r="K32" s="24" t="n">
        <v>787.0473000000001</v>
      </c>
      <c r="L32" s="24" t="n">
        <v>787.0473000000001</v>
      </c>
      <c r="M32" s="25" t="n">
        <v>0.5</v>
      </c>
      <c r="N32" s="24" t="n">
        <v>8728.952699999998</v>
      </c>
      <c r="O32" s="24" t="n">
        <v>7941.905399999998</v>
      </c>
      <c r="P32" s="24" t="n">
        <v>400853.2904087341</v>
      </c>
      <c r="Q32" s="24" t="n">
        <v>200426.645204367</v>
      </c>
      <c r="R32" s="24" t="n">
        <v>2022457.171065127</v>
      </c>
      <c r="S32" s="24" t="n">
        <v>9620478.969809618</v>
      </c>
      <c r="T32" s="24" t="n">
        <v>48538972.10556304</v>
      </c>
      <c r="U32" t="inlineStr">
        <is>
          <t>target</t>
        </is>
      </c>
      <c r="V32" s="22" t="n">
        <v>0.85</v>
      </c>
      <c r="W32" t="inlineStr">
        <is>
          <t>hcris_derived_with_state_agency</t>
        </is>
      </c>
      <c r="X32" t="b">
        <v>0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Kaiser Permanente</t>
        </is>
      </c>
      <c r="F33" s="22" t="n">
        <v>30</v>
      </c>
      <c r="G33" s="23" t="n">
        <v>90.78517500000001</v>
      </c>
      <c r="H33" s="23" t="n">
        <v>142.89</v>
      </c>
      <c r="I33" s="23" t="n">
        <v>52.10482499999998</v>
      </c>
      <c r="J33" s="24" t="n">
        <v>1574.0946</v>
      </c>
      <c r="K33" s="24" t="n">
        <v>787.0473000000001</v>
      </c>
      <c r="L33" s="24" t="n">
        <v>787.0473000000001</v>
      </c>
      <c r="M33" s="25" t="n">
        <v>0.5</v>
      </c>
      <c r="N33" s="24" t="n">
        <v>8128.352699999997</v>
      </c>
      <c r="O33" s="24" t="n">
        <v>7341.305399999996</v>
      </c>
      <c r="P33" s="24" t="n">
        <v>47222.838</v>
      </c>
      <c r="Q33" s="24" t="n">
        <v>23611.419</v>
      </c>
      <c r="R33" s="24" t="n">
        <v>220239.1619999999</v>
      </c>
      <c r="S33" s="24" t="n">
        <v>1133348.112</v>
      </c>
      <c r="T33" s="24" t="n">
        <v>5285739.887999997</v>
      </c>
      <c r="U33" t="inlineStr">
        <is>
          <t>target</t>
        </is>
      </c>
      <c r="V33" s="22" t="n">
        <v>0.6</v>
      </c>
      <c r="W33" t="inlineStr">
        <is>
          <t>state_imputed_with_commonspirit_anchor</t>
        </is>
      </c>
      <c r="X33" t="b">
        <v>0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Kaiser Permanente</t>
        </is>
      </c>
      <c r="F34" s="22" t="n">
        <v>12</v>
      </c>
      <c r="G34" s="23" t="n">
        <v>90.78517500000001</v>
      </c>
      <c r="H34" s="23" t="n">
        <v>142.89</v>
      </c>
      <c r="I34" s="23" t="n">
        <v>52.10482499999998</v>
      </c>
      <c r="J34" s="24" t="n">
        <v>1574.0946</v>
      </c>
      <c r="K34" s="24" t="n">
        <v>787.0473000000001</v>
      </c>
      <c r="L34" s="24" t="n">
        <v>787.0473000000001</v>
      </c>
      <c r="M34" s="25" t="n">
        <v>0.5</v>
      </c>
      <c r="N34" s="24" t="n">
        <v>8128.352699999997</v>
      </c>
      <c r="O34" s="24" t="n">
        <v>7341.305399999996</v>
      </c>
      <c r="P34" s="24" t="n">
        <v>18889.1352</v>
      </c>
      <c r="Q34" s="24" t="n">
        <v>9444.5676</v>
      </c>
      <c r="R34" s="24" t="n">
        <v>88095.66479999994</v>
      </c>
      <c r="S34" s="24" t="n">
        <v>453339.2448</v>
      </c>
      <c r="T34" s="24" t="n">
        <v>2114295.955199999</v>
      </c>
      <c r="U34" t="inlineStr">
        <is>
          <t>target</t>
        </is>
      </c>
      <c r="V34" s="22" t="n">
        <v>0.6</v>
      </c>
      <c r="W34" t="inlineStr">
        <is>
          <t>state_imputed_with_commonspirit_anchor</t>
        </is>
      </c>
      <c r="X34" t="b">
        <v>0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Kaiser Permanente</t>
        </is>
      </c>
      <c r="F35" s="22" t="n">
        <v>23.9</v>
      </c>
      <c r="G35" s="23" t="n">
        <v>80.91442500000001</v>
      </c>
      <c r="H35" s="23" t="n">
        <v>141.48</v>
      </c>
      <c r="I35" s="23" t="n">
        <v>60.56557499999998</v>
      </c>
      <c r="J35" s="24" t="n">
        <v>1442.8206</v>
      </c>
      <c r="K35" s="24" t="n">
        <v>721.4103000000001</v>
      </c>
      <c r="L35" s="24" t="n">
        <v>721.4103000000001</v>
      </c>
      <c r="M35" s="25" t="n">
        <v>0.5</v>
      </c>
      <c r="N35" s="24" t="n">
        <v>9448.229699999996</v>
      </c>
      <c r="O35" s="24" t="n">
        <v>8726.819399999995</v>
      </c>
      <c r="P35" s="24" t="n">
        <v>34536.41397709925</v>
      </c>
      <c r="Q35" s="24" t="n">
        <v>17268.20698854962</v>
      </c>
      <c r="R35" s="24" t="n">
        <v>208891.5610865139</v>
      </c>
      <c r="S35" s="24" t="n">
        <v>828873.9354503821</v>
      </c>
      <c r="T35" s="24" t="n">
        <v>5013397.466076334</v>
      </c>
      <c r="U35" t="inlineStr">
        <is>
          <t>target</t>
        </is>
      </c>
      <c r="V35" s="22" t="n">
        <v>0.85</v>
      </c>
      <c r="W35" t="inlineStr">
        <is>
          <t>hcris_derived_with_state_agency</t>
        </is>
      </c>
      <c r="X35" t="b">
        <v>0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Kaiser Permanente</t>
        </is>
      </c>
      <c r="F36" s="22" t="n">
        <v>418.7</v>
      </c>
      <c r="G36" s="23" t="n">
        <v>72.239525</v>
      </c>
      <c r="H36" s="23" t="n">
        <v>161.785</v>
      </c>
      <c r="I36" s="23" t="n">
        <v>89.545475</v>
      </c>
      <c r="J36" s="24" t="n">
        <v>1285.2918</v>
      </c>
      <c r="K36" s="24" t="n">
        <v>642.6459</v>
      </c>
      <c r="L36" s="24" t="n">
        <v>642.6459</v>
      </c>
      <c r="M36" s="25" t="n">
        <v>0.5</v>
      </c>
      <c r="N36" s="24" t="n">
        <v>13969.0941</v>
      </c>
      <c r="O36" s="24" t="n">
        <v>13326.4482</v>
      </c>
      <c r="P36" s="24" t="n">
        <v>538088.1403615848</v>
      </c>
      <c r="Q36" s="24" t="n">
        <v>269044.0701807924</v>
      </c>
      <c r="R36" s="24" t="n">
        <v>5579125.090164731</v>
      </c>
      <c r="S36" s="24" t="n">
        <v>12914115.36867804</v>
      </c>
      <c r="T36" s="24" t="n">
        <v>133899002.1639536</v>
      </c>
      <c r="U36" t="inlineStr">
        <is>
          <t>target</t>
        </is>
      </c>
      <c r="V36" s="22" t="n">
        <v>0.85</v>
      </c>
      <c r="W36" t="inlineStr">
        <is>
          <t>hcris_derived_with_state_agency</t>
        </is>
      </c>
      <c r="X36" t="b">
        <v>0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Kaiser Permanente</t>
        </is>
      </c>
      <c r="F37" s="22" t="n">
        <v>176.8</v>
      </c>
      <c r="G37" s="23" t="n">
        <v>72.24952499999999</v>
      </c>
      <c r="H37" s="23" t="n">
        <v>161.785</v>
      </c>
      <c r="I37" s="23" t="n">
        <v>89.53547500000001</v>
      </c>
      <c r="J37" s="24" t="n">
        <v>1285.2918</v>
      </c>
      <c r="K37" s="24" t="n">
        <v>642.6459</v>
      </c>
      <c r="L37" s="24" t="n">
        <v>642.6459</v>
      </c>
      <c r="M37" s="25" t="n">
        <v>0.5</v>
      </c>
      <c r="N37" s="24" t="n">
        <v>13967.5341</v>
      </c>
      <c r="O37" s="24" t="n">
        <v>13324.8882</v>
      </c>
      <c r="P37" s="24" t="n">
        <v>227247.6575168712</v>
      </c>
      <c r="Q37" s="24" t="n">
        <v>113623.8287584356</v>
      </c>
      <c r="R37" s="24" t="n">
        <v>2355923.868902142</v>
      </c>
      <c r="S37" s="24" t="n">
        <v>5453943.780404909</v>
      </c>
      <c r="T37" s="24" t="n">
        <v>56542172.85365141</v>
      </c>
      <c r="U37" t="inlineStr">
        <is>
          <t>target</t>
        </is>
      </c>
      <c r="V37" s="22" t="n">
        <v>0.85</v>
      </c>
      <c r="W37" t="inlineStr">
        <is>
          <t>hcris_derived_with_state_agency</t>
        </is>
      </c>
      <c r="X37" t="b">
        <v>0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Kaiser Permanente</t>
        </is>
      </c>
      <c r="F38" s="22" t="n">
        <v>39.5</v>
      </c>
      <c r="G38" s="23" t="n">
        <v>60.629825</v>
      </c>
      <c r="H38" s="23" t="n">
        <v>108.21</v>
      </c>
      <c r="I38" s="23" t="n">
        <v>47.580175</v>
      </c>
      <c r="J38" s="24" t="n">
        <v>1051.3854</v>
      </c>
      <c r="K38" s="24" t="n">
        <v>525.6926999999999</v>
      </c>
      <c r="L38" s="24" t="n">
        <v>525.6926999999999</v>
      </c>
      <c r="M38" s="25" t="n">
        <v>0.5</v>
      </c>
      <c r="N38" s="24" t="n">
        <v>7422.507299999999</v>
      </c>
      <c r="O38" s="24" t="n">
        <v>6896.814599999999</v>
      </c>
      <c r="P38" s="24" t="n">
        <v>41529.7233</v>
      </c>
      <c r="Q38" s="24" t="n">
        <v>20764.86165</v>
      </c>
      <c r="R38" s="24" t="n">
        <v>272424.1767</v>
      </c>
      <c r="S38" s="24" t="n">
        <v>996713.3591999998</v>
      </c>
      <c r="T38" s="24" t="n">
        <v>6538180.240799999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Kaiser Permanente</t>
        </is>
      </c>
      <c r="F39" s="22" t="n">
        <v>105.5</v>
      </c>
      <c r="G39" s="23" t="n">
        <v>69.766525</v>
      </c>
      <c r="H39" s="23" t="n">
        <v>160.2</v>
      </c>
      <c r="I39" s="23" t="n">
        <v>90.43347499999999</v>
      </c>
      <c r="J39" s="24" t="n">
        <v>1237.5558</v>
      </c>
      <c r="K39" s="24" t="n">
        <v>618.7778999999999</v>
      </c>
      <c r="L39" s="24" t="n">
        <v>618.7778999999999</v>
      </c>
      <c r="M39" s="25" t="n">
        <v>0.5</v>
      </c>
      <c r="N39" s="24" t="n">
        <v>14107.6221</v>
      </c>
      <c r="O39" s="24" t="n">
        <v>13488.8442</v>
      </c>
      <c r="P39" s="24" t="n">
        <v>130562.1369</v>
      </c>
      <c r="Q39" s="24" t="n">
        <v>65281.06844999999</v>
      </c>
      <c r="R39" s="24" t="n">
        <v>1423073.0631</v>
      </c>
      <c r="S39" s="24" t="n">
        <v>3133491.2856</v>
      </c>
      <c r="T39" s="24" t="n">
        <v>34153753.51439999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1311.7455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983.809125</v>
      </c>
      <c r="D5" s="24" t="n">
        <v>1967.61825</v>
      </c>
    </row>
    <row r="6">
      <c r="A6" t="inlineStr">
        <is>
          <t>50%</t>
        </is>
      </c>
      <c r="B6" s="24" t="n">
        <v>750</v>
      </c>
      <c r="C6" s="24" t="n">
        <v>787.0473000000001</v>
      </c>
      <c r="D6" s="24" t="n">
        <v>1574.0946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1311.7455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1049.3964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33</v>
      </c>
      <c r="C4" s="23" t="n">
        <v>87.705175</v>
      </c>
      <c r="D4" s="23" t="n">
        <v>142.89</v>
      </c>
      <c r="E4" s="23" t="n">
        <v>55.18482499999999</v>
      </c>
      <c r="F4" s="24" t="n">
        <v>1574.0946</v>
      </c>
      <c r="G4" s="24" t="n">
        <v>787.0473000000001</v>
      </c>
    </row>
    <row r="5">
      <c r="A5" t="inlineStr">
        <is>
          <t>OR</t>
        </is>
      </c>
      <c r="B5" t="n">
        <v>2</v>
      </c>
      <c r="C5" s="23" t="n">
        <v>72.244525</v>
      </c>
      <c r="D5" s="23" t="n">
        <v>161.785</v>
      </c>
      <c r="E5" s="23" t="n">
        <v>89.540475</v>
      </c>
      <c r="F5" s="24" t="n">
        <v>1285.2918</v>
      </c>
      <c r="G5" s="24" t="n">
        <v>642.6459</v>
      </c>
    </row>
    <row r="6">
      <c r="A6" t="inlineStr">
        <is>
          <t>HI</t>
        </is>
      </c>
      <c r="B6" t="n">
        <v>1</v>
      </c>
      <c r="C6" s="23" t="n">
        <v>80.91442500000001</v>
      </c>
      <c r="D6" s="23" t="n">
        <v>141.48</v>
      </c>
      <c r="E6" s="23" t="n">
        <v>60.56557499999998</v>
      </c>
      <c r="F6" s="24" t="n">
        <v>1442.8206</v>
      </c>
      <c r="G6" s="24" t="n">
        <v>721.4103000000001</v>
      </c>
    </row>
    <row r="7">
      <c r="A7" t="inlineStr">
        <is>
          <t>TX</t>
        </is>
      </c>
      <c r="B7" t="n">
        <v>1</v>
      </c>
      <c r="C7" s="23" t="n">
        <v>60.629825</v>
      </c>
      <c r="D7" s="23" t="n">
        <v>108.21</v>
      </c>
      <c r="E7" s="23" t="n">
        <v>47.580175</v>
      </c>
      <c r="F7" s="24" t="n">
        <v>1051.3854</v>
      </c>
      <c r="G7" s="24" t="n">
        <v>525.6926999999999</v>
      </c>
    </row>
    <row r="8">
      <c r="A8" t="inlineStr">
        <is>
          <t>WA</t>
        </is>
      </c>
      <c r="B8" t="n">
        <v>1</v>
      </c>
      <c r="C8" s="23" t="n">
        <v>69.766525</v>
      </c>
      <c r="D8" s="23" t="n">
        <v>160.2</v>
      </c>
      <c r="E8" s="23" t="n">
        <v>90.43347499999999</v>
      </c>
      <c r="F8" s="24" t="n">
        <v>1237.5558</v>
      </c>
      <c r="G8" s="24" t="n">
        <v>618.7778999999999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050070</t>
        </is>
      </c>
      <c r="B2" t="inlineStr">
        <is>
          <t>KAISER FOUNDATION HOSPITAL - SOUTH SAN FRANCISCO</t>
        </is>
      </c>
      <c r="C2" t="inlineStr">
        <is>
          <t>SOUTH SAN FRANCISCO</t>
        </is>
      </c>
      <c r="D2" t="inlineStr">
        <is>
          <t>CA</t>
        </is>
      </c>
      <c r="E2" t="inlineStr">
        <is>
          <t>SAN MATEO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521</v>
      </c>
      <c r="I2" s="24" t="n">
        <v>56917593</v>
      </c>
      <c r="J2" s="25" t="n">
        <v>0.3775</v>
      </c>
      <c r="K2" s="25" t="n">
        <v>0.1795</v>
      </c>
      <c r="L2" s="24" t="n">
        <v>153.2</v>
      </c>
      <c r="M2" s="24" t="n">
        <v>87.185175</v>
      </c>
      <c r="N2" s="24" t="n">
        <v>142.89</v>
      </c>
      <c r="O2" t="inlineStr">
        <is>
          <t>hcris_derived_with_state_agency</t>
        </is>
      </c>
      <c r="P2" s="26" t="n">
        <v>0.85</v>
      </c>
    </row>
    <row r="3">
      <c r="A3" t="inlineStr">
        <is>
          <t>050071</t>
        </is>
      </c>
      <c r="B3" t="inlineStr">
        <is>
          <t>KAISER FOUNDATION HOSPITAL-SANTA CLARA</t>
        </is>
      </c>
      <c r="C3" t="inlineStr">
        <is>
          <t>SANTA CLARA</t>
        </is>
      </c>
      <c r="D3" t="inlineStr">
        <is>
          <t>CA</t>
        </is>
      </c>
      <c r="E3" t="inlineStr">
        <is>
          <t>SANTA CLARA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2016</v>
      </c>
      <c r="I3" s="24" t="n">
        <v>181523510</v>
      </c>
      <c r="J3" s="25" t="n">
        <v>0.3371</v>
      </c>
      <c r="K3" s="25" t="n">
        <v>0.2176</v>
      </c>
      <c r="L3" s="24" t="n">
        <v>488.6</v>
      </c>
      <c r="M3" s="24" t="n">
        <v>87.435175</v>
      </c>
      <c r="N3" s="24" t="n">
        <v>142.89</v>
      </c>
      <c r="O3" t="inlineStr">
        <is>
          <t>hcris_derived_with_state_agency</t>
        </is>
      </c>
      <c r="P3" s="26" t="n">
        <v>0.85</v>
      </c>
    </row>
    <row r="4">
      <c r="A4" t="inlineStr">
        <is>
          <t>050072</t>
        </is>
      </c>
      <c r="B4" t="inlineStr">
        <is>
          <t>KAISER FOUNDATION HOSPITAL - WALNUT CREEK</t>
        </is>
      </c>
      <c r="C4" t="inlineStr">
        <is>
          <t>WALNUT CREEK</t>
        </is>
      </c>
      <c r="D4" t="inlineStr">
        <is>
          <t>CA</t>
        </is>
      </c>
      <c r="E4" t="inlineStr">
        <is>
          <t>CONTRA COSTA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1357</v>
      </c>
      <c r="I4" s="24" t="n">
        <v>96300035</v>
      </c>
      <c r="J4" s="25" t="n">
        <v>0.2692</v>
      </c>
      <c r="K4" s="25" t="n">
        <v>0.0575</v>
      </c>
      <c r="L4" s="24" t="n">
        <v>259.2</v>
      </c>
      <c r="M4" s="24" t="n">
        <v>86.22517500000001</v>
      </c>
      <c r="N4" s="24" t="n">
        <v>142.89</v>
      </c>
      <c r="O4" t="inlineStr">
        <is>
          <t>hcris_derived_with_state_agency</t>
        </is>
      </c>
      <c r="P4" s="26" t="n">
        <v>0.85</v>
      </c>
    </row>
    <row r="5">
      <c r="A5" t="inlineStr">
        <is>
          <t>050073</t>
        </is>
      </c>
      <c r="B5" t="inlineStr">
        <is>
          <t>KAISER FOUNDATION HOSPITAL AND REHAB CENTER</t>
        </is>
      </c>
      <c r="C5" t="inlineStr">
        <is>
          <t>VALLEJO</t>
        </is>
      </c>
      <c r="D5" t="inlineStr">
        <is>
          <t>CA</t>
        </is>
      </c>
      <c r="E5" t="inlineStr">
        <is>
          <t>SOLANO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1163</v>
      </c>
      <c r="I5" s="24" t="n">
        <v>91010421</v>
      </c>
      <c r="J5" s="25" t="n">
        <v>0.3164</v>
      </c>
      <c r="K5" s="25" t="n">
        <v>0.07439999999999999</v>
      </c>
      <c r="L5" s="24" t="n">
        <v>245</v>
      </c>
      <c r="M5" s="24" t="n">
        <v>84.81517500000001</v>
      </c>
      <c r="N5" s="24" t="n">
        <v>142.89</v>
      </c>
      <c r="O5" t="inlineStr">
        <is>
          <t>hcris_derived_with_state_agency</t>
        </is>
      </c>
      <c r="P5" s="26" t="n">
        <v>0.85</v>
      </c>
    </row>
    <row r="6">
      <c r="A6" t="inlineStr">
        <is>
          <t>050075</t>
        </is>
      </c>
      <c r="B6" t="inlineStr">
        <is>
          <t>KAISER FOUNDATION HOSPITAL - OAKLAND/RICHMOND</t>
        </is>
      </c>
      <c r="C6" t="inlineStr">
        <is>
          <t>OAKLAND</t>
        </is>
      </c>
      <c r="D6" t="inlineStr">
        <is>
          <t>CA</t>
        </is>
      </c>
      <c r="E6" t="inlineStr">
        <is>
          <t>ALAMEDA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2494</v>
      </c>
      <c r="I6" s="24" t="n">
        <v>186310500</v>
      </c>
      <c r="J6" s="25" t="n">
        <v>0.3096</v>
      </c>
      <c r="K6" s="25" t="n">
        <v>0.0965</v>
      </c>
      <c r="L6" s="24" t="n">
        <v>501.5</v>
      </c>
      <c r="M6" s="24" t="n">
        <v>87.775175</v>
      </c>
      <c r="N6" s="24" t="n">
        <v>142.89</v>
      </c>
      <c r="O6" t="inlineStr">
        <is>
          <t>hcris_derived_with_state_agency</t>
        </is>
      </c>
      <c r="P6" s="26" t="n">
        <v>0.85</v>
      </c>
    </row>
    <row r="7">
      <c r="A7" t="inlineStr">
        <is>
          <t>050076</t>
        </is>
      </c>
      <c r="B7" t="inlineStr">
        <is>
          <t>KAISER FOUNDATION HOSPITAL - SAN FRANCISCO</t>
        </is>
      </c>
      <c r="C7" t="inlineStr">
        <is>
          <t>SAN FRANCISCO</t>
        </is>
      </c>
      <c r="D7" t="inlineStr">
        <is>
          <t>CA</t>
        </is>
      </c>
      <c r="E7" t="inlineStr">
        <is>
          <t>SAN FRANCISCO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1328</v>
      </c>
      <c r="I7" s="24" t="n">
        <v>97219361</v>
      </c>
      <c r="J7" s="25" t="n">
        <v>0.2872</v>
      </c>
      <c r="K7" s="25" t="n">
        <v>0.1517</v>
      </c>
      <c r="L7" s="24" t="n">
        <v>261.7</v>
      </c>
      <c r="M7" s="24" t="n">
        <v>86.985175</v>
      </c>
      <c r="N7" s="24" t="n">
        <v>142.89</v>
      </c>
      <c r="O7" t="inlineStr">
        <is>
          <t>hcris_derived_with_state_agency</t>
        </is>
      </c>
      <c r="P7" s="26" t="n">
        <v>0.85</v>
      </c>
    </row>
    <row r="8">
      <c r="A8" t="inlineStr">
        <is>
          <t>050137</t>
        </is>
      </c>
      <c r="B8" t="inlineStr">
        <is>
          <t>KAISER FOUNDATION HOSPITAL - PANORAMA CITY</t>
        </is>
      </c>
      <c r="C8" t="inlineStr">
        <is>
          <t>PANORAMA CITY</t>
        </is>
      </c>
      <c r="D8" t="inlineStr">
        <is>
          <t>CA</t>
        </is>
      </c>
      <c r="E8" t="inlineStr">
        <is>
          <t>LOS ANGELES</t>
        </is>
      </c>
      <c r="F8" t="inlineStr">
        <is>
          <t>Acute Care Hospitals</t>
        </is>
      </c>
      <c r="G8" t="inlineStr">
        <is>
          <t>Voluntary non-profit - Private</t>
        </is>
      </c>
      <c r="H8" s="24" t="n">
        <v>914</v>
      </c>
      <c r="I8" s="24" t="n">
        <v>65073699</v>
      </c>
      <c r="J8" s="25" t="n">
        <v>0.3539</v>
      </c>
      <c r="K8" s="25" t="n">
        <v>0.1269</v>
      </c>
      <c r="L8" s="24" t="n">
        <v>175.2</v>
      </c>
      <c r="M8" s="24" t="n">
        <v>85.345175</v>
      </c>
      <c r="N8" s="24" t="n">
        <v>142.89</v>
      </c>
      <c r="O8" t="inlineStr">
        <is>
          <t>hcris_derived_with_state_agency</t>
        </is>
      </c>
      <c r="P8" s="26" t="n">
        <v>0.85</v>
      </c>
    </row>
    <row r="9">
      <c r="A9" t="inlineStr">
        <is>
          <t>050138</t>
        </is>
      </c>
      <c r="B9" t="inlineStr">
        <is>
          <t>KAISER FOUNDATION HOSPITAL - LOS ANGELES</t>
        </is>
      </c>
      <c r="C9" t="inlineStr">
        <is>
          <t>LOS ANGELES</t>
        </is>
      </c>
      <c r="D9" t="inlineStr">
        <is>
          <t>CA</t>
        </is>
      </c>
      <c r="E9" t="inlineStr">
        <is>
          <t>LOS ANGELES</t>
        </is>
      </c>
      <c r="F9" t="inlineStr">
        <is>
          <t>Acute Care Hospitals</t>
        </is>
      </c>
      <c r="G9" t="inlineStr">
        <is>
          <t>Voluntary non-profit - Other</t>
        </is>
      </c>
      <c r="H9" s="24" t="n">
        <v>2315</v>
      </c>
      <c r="I9" s="24" t="n">
        <v>184183319</v>
      </c>
      <c r="J9" s="25" t="n">
        <v>0.3601</v>
      </c>
      <c r="K9" s="25" t="n">
        <v>0.1856</v>
      </c>
      <c r="L9" s="24" t="n">
        <v>495.8</v>
      </c>
      <c r="M9" s="24" t="n">
        <v>87.03517500000001</v>
      </c>
      <c r="N9" s="24" t="n">
        <v>142.89</v>
      </c>
      <c r="O9" t="inlineStr">
        <is>
          <t>hcris_derived_with_state_agency</t>
        </is>
      </c>
      <c r="P9" s="26" t="n">
        <v>0.85</v>
      </c>
    </row>
    <row r="10">
      <c r="A10" t="inlineStr">
        <is>
          <t>050139</t>
        </is>
      </c>
      <c r="B10" t="inlineStr">
        <is>
          <t>KAISER FOUNDATION HOSPITAL - DOWNEY</t>
        </is>
      </c>
      <c r="C10" t="inlineStr">
        <is>
          <t>DOWNEY</t>
        </is>
      </c>
      <c r="D10" t="inlineStr">
        <is>
          <t>CA</t>
        </is>
      </c>
      <c r="E10" t="inlineStr">
        <is>
          <t>LOS ANGELES</t>
        </is>
      </c>
      <c r="F10" t="inlineStr">
        <is>
          <t>Acute Care Hospitals</t>
        </is>
      </c>
      <c r="G10" t="inlineStr">
        <is>
          <t>Voluntary non-profit - Other</t>
        </is>
      </c>
      <c r="H10" s="24" t="n">
        <v>1671</v>
      </c>
      <c r="I10" s="24" t="n">
        <v>124647867</v>
      </c>
      <c r="J10" s="25" t="n">
        <v>0.3385</v>
      </c>
      <c r="K10" s="25" t="n">
        <v>0.0838</v>
      </c>
      <c r="L10" s="24" t="n">
        <v>335.5</v>
      </c>
      <c r="M10" s="24" t="n">
        <v>88.265175</v>
      </c>
      <c r="N10" s="24" t="n">
        <v>142.89</v>
      </c>
      <c r="O10" t="inlineStr">
        <is>
          <t>hcris_derived_with_state_agency</t>
        </is>
      </c>
      <c r="P10" s="26" t="n">
        <v>0.85</v>
      </c>
    </row>
    <row r="11">
      <c r="A11" t="inlineStr">
        <is>
          <t>050140</t>
        </is>
      </c>
      <c r="B11" t="inlineStr">
        <is>
          <t>KAISER FOUNDATION HOSPITAL FONTANA/ONTARIO</t>
        </is>
      </c>
      <c r="C11" t="inlineStr">
        <is>
          <t>FONTANA</t>
        </is>
      </c>
      <c r="D11" t="inlineStr">
        <is>
          <t>CA</t>
        </is>
      </c>
      <c r="E11" t="inlineStr">
        <is>
          <t>SAN BERNARDINO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2919</v>
      </c>
      <c r="I11" s="24" t="n">
        <v>220339882</v>
      </c>
      <c r="J11" s="25" t="n">
        <v>0.3505</v>
      </c>
      <c r="K11" s="25" t="n">
        <v>0.166</v>
      </c>
      <c r="L11" s="24" t="n">
        <v>593.1</v>
      </c>
      <c r="M11" s="24" t="n">
        <v>88.36517500000001</v>
      </c>
      <c r="N11" s="24" t="n">
        <v>142.89</v>
      </c>
      <c r="O11" t="inlineStr">
        <is>
          <t>hcris_derived_with_state_agency</t>
        </is>
      </c>
      <c r="P11" s="26" t="n">
        <v>0.85</v>
      </c>
    </row>
    <row r="12">
      <c r="A12" t="inlineStr">
        <is>
          <t>050411</t>
        </is>
      </c>
      <c r="B12" t="inlineStr">
        <is>
          <t>KAISER FOUNDATION HOSPITAL - SOUTH BAY</t>
        </is>
      </c>
      <c r="C12" t="inlineStr">
        <is>
          <t>HARBOR CITY</t>
        </is>
      </c>
      <c r="D12" t="inlineStr">
        <is>
          <t>CA</t>
        </is>
      </c>
      <c r="E12" t="inlineStr">
        <is>
          <t>LOS ANGELES</t>
        </is>
      </c>
      <c r="F12" t="inlineStr">
        <is>
          <t>Acute Care Hospitals</t>
        </is>
      </c>
      <c r="G12" t="inlineStr">
        <is>
          <t>Voluntary non-profit - Other</t>
        </is>
      </c>
      <c r="H12" s="24" t="n">
        <v>1038</v>
      </c>
      <c r="I12" s="24" t="n">
        <v>90752486</v>
      </c>
      <c r="J12" s="25" t="n">
        <v>0.3723</v>
      </c>
      <c r="K12" s="25" t="n">
        <v>0.1339</v>
      </c>
      <c r="L12" s="24" t="n">
        <v>244.3</v>
      </c>
      <c r="M12" s="24" t="n">
        <v>87.59517500000001</v>
      </c>
      <c r="N12" s="24" t="n">
        <v>142.89</v>
      </c>
      <c r="O12" t="inlineStr">
        <is>
          <t>hcris_derived_with_state_agency</t>
        </is>
      </c>
      <c r="P12" s="26" t="n">
        <v>0.85</v>
      </c>
    </row>
    <row r="13">
      <c r="A13" t="inlineStr">
        <is>
          <t>050425</t>
        </is>
      </c>
      <c r="B13" t="inlineStr">
        <is>
          <t>KAISER FOUNDATION HOSPITAL - SACRAMENTO</t>
        </is>
      </c>
      <c r="C13" t="inlineStr">
        <is>
          <t>SACRAMENTO</t>
        </is>
      </c>
      <c r="D13" t="inlineStr">
        <is>
          <t>CA</t>
        </is>
      </c>
      <c r="E13" t="inlineStr">
        <is>
          <t>SACRAMENTO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1229</v>
      </c>
      <c r="I13" s="24" t="n">
        <v>133144573</v>
      </c>
      <c r="J13" s="25" t="n">
        <v>0.3621</v>
      </c>
      <c r="K13" s="25" t="n">
        <v>0.1198</v>
      </c>
      <c r="L13" s="24" t="n">
        <v>358.4</v>
      </c>
      <c r="M13" s="24" t="n">
        <v>86.955175</v>
      </c>
      <c r="N13" s="24" t="n">
        <v>142.89</v>
      </c>
      <c r="O13" t="inlineStr">
        <is>
          <t>hcris_derived_with_state_agency</t>
        </is>
      </c>
      <c r="P13" s="26" t="n">
        <v>0.85</v>
      </c>
    </row>
    <row r="14">
      <c r="A14" t="inlineStr">
        <is>
          <t>050510</t>
        </is>
      </c>
      <c r="B14" t="inlineStr">
        <is>
          <t>KAISER FOUNDATION HOSPITAL</t>
        </is>
      </c>
      <c r="C14" t="inlineStr">
        <is>
          <t>SAN RAFAEL</t>
        </is>
      </c>
      <c r="D14" t="inlineStr">
        <is>
          <t>CA</t>
        </is>
      </c>
      <c r="E14" t="inlineStr">
        <is>
          <t>MARIN</t>
        </is>
      </c>
      <c r="F14" t="inlineStr">
        <is>
          <t>Acute Care Hospitals</t>
        </is>
      </c>
      <c r="G14" t="inlineStr">
        <is>
          <t>Voluntary non-profit - Private</t>
        </is>
      </c>
      <c r="H14" s="24" t="n">
        <v>489</v>
      </c>
      <c r="I14" s="24" t="n">
        <v>48670213</v>
      </c>
      <c r="J14" s="25" t="n">
        <v>0.358</v>
      </c>
      <c r="K14" s="25" t="n">
        <v>-0.3326</v>
      </c>
      <c r="L14" s="24" t="n">
        <v>131</v>
      </c>
      <c r="M14" s="24" t="n">
        <v>86.465175</v>
      </c>
      <c r="N14" s="24" t="n">
        <v>142.89</v>
      </c>
      <c r="O14" t="inlineStr">
        <is>
          <t>hcris_derived_with_state_agency</t>
        </is>
      </c>
      <c r="P14" s="26" t="n">
        <v>0.85</v>
      </c>
    </row>
    <row r="15">
      <c r="A15" t="inlineStr">
        <is>
          <t>050512</t>
        </is>
      </c>
      <c r="B15" t="inlineStr">
        <is>
          <t>KAISER FOUNDATION HOSPITAL - FREMONT</t>
        </is>
      </c>
      <c r="C15" t="inlineStr">
        <is>
          <t>FREMONT</t>
        </is>
      </c>
      <c r="D15" t="inlineStr">
        <is>
          <t>CA</t>
        </is>
      </c>
      <c r="E15" t="inlineStr">
        <is>
          <t>ALAMEDA</t>
        </is>
      </c>
      <c r="F15" t="inlineStr">
        <is>
          <t>Acute Care Hospitals</t>
        </is>
      </c>
      <c r="G15" t="inlineStr">
        <is>
          <t>Voluntary non-profit - Private</t>
        </is>
      </c>
      <c r="H15" s="24" t="n">
        <v>561</v>
      </c>
      <c r="I15" s="24" t="n">
        <v>55792469</v>
      </c>
      <c r="J15" s="25" t="n">
        <v>0.3799</v>
      </c>
      <c r="K15" s="25" t="n">
        <v>0.0163</v>
      </c>
      <c r="L15" s="24" t="n">
        <v>150.2</v>
      </c>
      <c r="M15" s="24" t="n">
        <v>88.925175</v>
      </c>
      <c r="N15" s="24" t="n">
        <v>142.89</v>
      </c>
      <c r="O15" t="inlineStr">
        <is>
          <t>hcris_derived_with_state_agency</t>
        </is>
      </c>
      <c r="P15" s="26" t="n">
        <v>0.85</v>
      </c>
    </row>
    <row r="16">
      <c r="A16" t="inlineStr">
        <is>
          <t>050515</t>
        </is>
      </c>
      <c r="B16" t="inlineStr">
        <is>
          <t>KAISER FOUNDATION HOSPITAL - SAN DIEGO</t>
        </is>
      </c>
      <c r="C16" t="inlineStr">
        <is>
          <t>SAN DIEGO</t>
        </is>
      </c>
      <c r="D16" t="inlineStr">
        <is>
          <t>CA</t>
        </is>
      </c>
      <c r="E16" t="inlineStr">
        <is>
          <t>SAN DIEGO</t>
        </is>
      </c>
      <c r="F16" t="inlineStr">
        <is>
          <t>Acute Care Hospitals</t>
        </is>
      </c>
      <c r="G16" t="inlineStr">
        <is>
          <t>Voluntary non-profit - Private</t>
        </is>
      </c>
      <c r="H16" s="24" t="n">
        <v>2379</v>
      </c>
      <c r="I16" s="24" t="n">
        <v>185572591</v>
      </c>
      <c r="J16" s="25" t="n">
        <v>0.3416</v>
      </c>
      <c r="K16" s="25" t="n">
        <v>0.1012</v>
      </c>
      <c r="L16" s="24" t="n">
        <v>499.5</v>
      </c>
      <c r="M16" s="24" t="n">
        <v>87.06517500000001</v>
      </c>
      <c r="N16" s="24" t="n">
        <v>142.89</v>
      </c>
      <c r="O16" t="inlineStr">
        <is>
          <t>hcris_derived_with_state_agency</t>
        </is>
      </c>
      <c r="P16" s="26" t="n">
        <v>0.85</v>
      </c>
    </row>
    <row r="17">
      <c r="A17" t="inlineStr">
        <is>
          <t>050541</t>
        </is>
      </c>
      <c r="B17" t="inlineStr">
        <is>
          <t>KAISER FOUNDATION HOSPITAL - REDWOOD CITY</t>
        </is>
      </c>
      <c r="C17" t="inlineStr">
        <is>
          <t>REDWOOD CITY</t>
        </is>
      </c>
      <c r="D17" t="inlineStr">
        <is>
          <t>CA</t>
        </is>
      </c>
      <c r="E17" t="inlineStr">
        <is>
          <t>SAN MATEO</t>
        </is>
      </c>
      <c r="F17" t="inlineStr">
        <is>
          <t>Acute Care Hospitals</t>
        </is>
      </c>
      <c r="G17" t="inlineStr">
        <is>
          <t>Voluntary non-profit - Private</t>
        </is>
      </c>
      <c r="H17" s="24" t="n">
        <v>710</v>
      </c>
      <c r="I17" s="24" t="n">
        <v>69425647</v>
      </c>
      <c r="J17" s="25" t="n">
        <v>0.3505</v>
      </c>
      <c r="K17" s="25" t="n">
        <v>0.1088</v>
      </c>
      <c r="L17" s="24" t="n">
        <v>186.9</v>
      </c>
      <c r="M17" s="24" t="n">
        <v>87.165175</v>
      </c>
      <c r="N17" s="24" t="n">
        <v>142.89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050561</t>
        </is>
      </c>
      <c r="B18" t="inlineStr">
        <is>
          <t>KAISER FOUNDATION HOSPITAL - WEST LA</t>
        </is>
      </c>
      <c r="C18" t="inlineStr">
        <is>
          <t>LOS ANGELES</t>
        </is>
      </c>
      <c r="D18" t="inlineStr">
        <is>
          <t>CA</t>
        </is>
      </c>
      <c r="E18" t="inlineStr">
        <is>
          <t>LOS ANGELES</t>
        </is>
      </c>
      <c r="F18" t="inlineStr">
        <is>
          <t>Acute Care Hospitals</t>
        </is>
      </c>
      <c r="G18" t="inlineStr">
        <is>
          <t>Voluntary non-profit - Private</t>
        </is>
      </c>
      <c r="H18" s="24" t="n">
        <v>878</v>
      </c>
      <c r="I18" s="24" t="n">
        <v>71890276</v>
      </c>
      <c r="J18" s="25" t="n">
        <v>0.372</v>
      </c>
      <c r="K18" s="25" t="n">
        <v>0.0795</v>
      </c>
      <c r="L18" s="24" t="n">
        <v>193.5</v>
      </c>
      <c r="M18" s="24" t="n">
        <v>87.705175</v>
      </c>
      <c r="N18" s="24" t="n">
        <v>142.89</v>
      </c>
      <c r="O18" t="inlineStr">
        <is>
          <t>hcris_derived_with_state_agency</t>
        </is>
      </c>
      <c r="P18" s="26" t="n">
        <v>0.85</v>
      </c>
    </row>
    <row r="19">
      <c r="A19" t="inlineStr">
        <is>
          <t>050604</t>
        </is>
      </c>
      <c r="B19" t="inlineStr">
        <is>
          <t>KAISER FOUNDATION HOSPITAL-SAN JOSE</t>
        </is>
      </c>
      <c r="C19" t="inlineStr">
        <is>
          <t>SAN JOSE</t>
        </is>
      </c>
      <c r="D19" t="inlineStr">
        <is>
          <t>CA</t>
        </is>
      </c>
      <c r="E19" t="inlineStr">
        <is>
          <t>SANTA CLARA</t>
        </is>
      </c>
      <c r="F19" t="inlineStr">
        <is>
          <t>Acute Care Hospitals</t>
        </is>
      </c>
      <c r="G19" t="inlineStr">
        <is>
          <t>Voluntary non-profit - Private</t>
        </is>
      </c>
      <c r="H19" s="24" t="n">
        <v>1024</v>
      </c>
      <c r="I19" s="24" t="n">
        <v>98214645</v>
      </c>
      <c r="J19" s="25" t="n">
        <v>0.3399</v>
      </c>
      <c r="K19" s="25" t="n">
        <v>0.2189</v>
      </c>
      <c r="L19" s="24" t="n">
        <v>264.4</v>
      </c>
      <c r="M19" s="24" t="n">
        <v>87.275175</v>
      </c>
      <c r="N19" s="24" t="n">
        <v>142.89</v>
      </c>
      <c r="O19" t="inlineStr">
        <is>
          <t>hcris_derived_with_state_agency</t>
        </is>
      </c>
      <c r="P19" s="26" t="n">
        <v>0.85</v>
      </c>
    </row>
    <row r="20">
      <c r="A20" t="inlineStr">
        <is>
          <t>050609</t>
        </is>
      </c>
      <c r="B20" t="inlineStr">
        <is>
          <t>KAISER FOUNDATION HOSPITAL - ORANGE COUNTY - ANAHEIM</t>
        </is>
      </c>
      <c r="C20" t="inlineStr">
        <is>
          <t>ANAHEIM</t>
        </is>
      </c>
      <c r="D20" t="inlineStr">
        <is>
          <t>CA</t>
        </is>
      </c>
      <c r="E20" t="inlineStr">
        <is>
          <t>ORANGE</t>
        </is>
      </c>
      <c r="F20" t="inlineStr">
        <is>
          <t>Acute Care Hospitals</t>
        </is>
      </c>
      <c r="G20" t="inlineStr">
        <is>
          <t>Voluntary non-profit - Private</t>
        </is>
      </c>
      <c r="H20" s="24" t="n">
        <v>2026</v>
      </c>
      <c r="I20" s="24" t="n">
        <v>146799153</v>
      </c>
      <c r="J20" s="25" t="n">
        <v>0.3241</v>
      </c>
      <c r="K20" s="25" t="n">
        <v>0.1891</v>
      </c>
      <c r="L20" s="24" t="n">
        <v>395.1</v>
      </c>
      <c r="M20" s="24" t="n">
        <v>88.22517500000001</v>
      </c>
      <c r="N20" s="24" t="n">
        <v>142.89</v>
      </c>
      <c r="O20" t="inlineStr">
        <is>
          <t>hcris_derived_with_state_agency</t>
        </is>
      </c>
      <c r="P20" s="26" t="n">
        <v>0.85</v>
      </c>
    </row>
    <row r="21">
      <c r="A21" t="inlineStr">
        <is>
          <t>050674</t>
        </is>
      </c>
      <c r="B21" t="inlineStr">
        <is>
          <t>KAISER FOUNDATION HOSP SO SACRAMENTO</t>
        </is>
      </c>
      <c r="C21" t="inlineStr">
        <is>
          <t>SACRAMENTO</t>
        </is>
      </c>
      <c r="D21" t="inlineStr">
        <is>
          <t>CA</t>
        </is>
      </c>
      <c r="E21" t="inlineStr">
        <is>
          <t>SACRAMENTO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1450</v>
      </c>
      <c r="I21" s="24" t="n">
        <v>148791295</v>
      </c>
      <c r="J21" s="25" t="n">
        <v>0.3507</v>
      </c>
      <c r="K21" s="25" t="n">
        <v>0.1165</v>
      </c>
      <c r="L21" s="24" t="n">
        <v>400.5</v>
      </c>
      <c r="M21" s="24" t="n">
        <v>87.75517500000001</v>
      </c>
      <c r="N21" s="24" t="n">
        <v>142.89</v>
      </c>
      <c r="O21" t="inlineStr">
        <is>
          <t>hcris_derived_with_state_agency</t>
        </is>
      </c>
      <c r="P21" s="26" t="n">
        <v>0.85</v>
      </c>
    </row>
    <row r="22">
      <c r="A22" t="inlineStr">
        <is>
          <t>050677</t>
        </is>
      </c>
      <c r="B22" t="inlineStr">
        <is>
          <t>KAISER FOUNDATION HOSPITAL - WOODLAND HILLS</t>
        </is>
      </c>
      <c r="C22" t="inlineStr">
        <is>
          <t>WOODLAND HILLS</t>
        </is>
      </c>
      <c r="D22" t="inlineStr">
        <is>
          <t>CA</t>
        </is>
      </c>
      <c r="E22" t="inlineStr">
        <is>
          <t>LOS ANGELES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949</v>
      </c>
      <c r="I22" s="24" t="n">
        <v>71253678</v>
      </c>
      <c r="J22" s="25" t="n">
        <v>0.3598</v>
      </c>
      <c r="K22" s="25" t="n">
        <v>0.0344</v>
      </c>
      <c r="L22" s="24" t="n">
        <v>191.8</v>
      </c>
      <c r="M22" s="24" t="n">
        <v>88.375175</v>
      </c>
      <c r="N22" s="24" t="n">
        <v>142.89</v>
      </c>
      <c r="O22" t="inlineStr">
        <is>
          <t>hcris_derived_with_state_agency</t>
        </is>
      </c>
      <c r="P22" s="26" t="n">
        <v>0.85</v>
      </c>
    </row>
    <row r="23">
      <c r="A23" t="inlineStr">
        <is>
          <t>050686</t>
        </is>
      </c>
      <c r="B23" t="inlineStr">
        <is>
          <t>KAISER FOUNDATION HOSPITAL, RIVERSIDE</t>
        </is>
      </c>
      <c r="C23" t="inlineStr">
        <is>
          <t>RIVERSIDE</t>
        </is>
      </c>
      <c r="D23" t="inlineStr">
        <is>
          <t>CA</t>
        </is>
      </c>
      <c r="E23" t="inlineStr">
        <is>
          <t>RIVERSIDE</t>
        </is>
      </c>
      <c r="F23" t="inlineStr">
        <is>
          <t>Acute Care Hospitals</t>
        </is>
      </c>
      <c r="G23" t="inlineStr">
        <is>
          <t>Voluntary non-profit - Private</t>
        </is>
      </c>
      <c r="H23" s="24" t="n">
        <v>1227</v>
      </c>
      <c r="I23" s="24" t="n">
        <v>69872923</v>
      </c>
      <c r="J23" s="25" t="n">
        <v>0.2754</v>
      </c>
      <c r="K23" s="25" t="n">
        <v>0.1016</v>
      </c>
      <c r="L23" s="24" t="n">
        <v>188.1</v>
      </c>
      <c r="M23" s="24" t="n">
        <v>86.425175</v>
      </c>
      <c r="N23" s="24" t="n">
        <v>142.89</v>
      </c>
      <c r="O23" t="inlineStr">
        <is>
          <t>hcris_derived_with_state_agency</t>
        </is>
      </c>
      <c r="P23" s="26" t="n">
        <v>0.85</v>
      </c>
    </row>
    <row r="24">
      <c r="A24" t="inlineStr">
        <is>
          <t>050690</t>
        </is>
      </c>
      <c r="B24" t="inlineStr">
        <is>
          <t>KAISER FOUNDATION HOSPITAL-SANTA ROSA</t>
        </is>
      </c>
      <c r="C24" t="inlineStr">
        <is>
          <t>SANTA ROSA</t>
        </is>
      </c>
      <c r="D24" t="inlineStr">
        <is>
          <t>CA</t>
        </is>
      </c>
      <c r="E24" t="inlineStr">
        <is>
          <t>SONOMA</t>
        </is>
      </c>
      <c r="F24" t="inlineStr">
        <is>
          <t>Acute Care Hospitals</t>
        </is>
      </c>
      <c r="G24" t="inlineStr">
        <is>
          <t>Voluntary non-profit - Private</t>
        </is>
      </c>
      <c r="H24" s="24" t="n">
        <v>884</v>
      </c>
      <c r="I24" s="24" t="n">
        <v>72093493</v>
      </c>
      <c r="J24" s="25" t="n">
        <v>0.3115</v>
      </c>
      <c r="K24" s="25" t="n">
        <v>-0.0073</v>
      </c>
      <c r="L24" s="24" t="n">
        <v>194.1</v>
      </c>
      <c r="M24" s="24" t="n">
        <v>87.08517500000001</v>
      </c>
      <c r="N24" s="24" t="n">
        <v>142.89</v>
      </c>
      <c r="O24" t="inlineStr">
        <is>
          <t>hcris_derived_with_state_agency</t>
        </is>
      </c>
      <c r="P24" s="26" t="n">
        <v>0.85</v>
      </c>
    </row>
    <row r="25">
      <c r="A25" t="inlineStr">
        <is>
          <t>050710</t>
        </is>
      </c>
      <c r="B25" t="inlineStr">
        <is>
          <t>KAISER FOUNDATION HOSPITAL - FRESNO</t>
        </is>
      </c>
      <c r="C25" t="inlineStr">
        <is>
          <t>FRESNO</t>
        </is>
      </c>
      <c r="D25" t="inlineStr">
        <is>
          <t>CA</t>
        </is>
      </c>
      <c r="E25" t="inlineStr">
        <is>
          <t>FRESNO</t>
        </is>
      </c>
      <c r="F25" t="inlineStr">
        <is>
          <t>Acute Care Hospitals</t>
        </is>
      </c>
      <c r="G25" t="inlineStr">
        <is>
          <t>Voluntary non-profit - Private</t>
        </is>
      </c>
      <c r="H25" s="24" t="n">
        <v>862</v>
      </c>
      <c r="I25" s="24" t="n">
        <v>62412029</v>
      </c>
      <c r="J25" s="25" t="n">
        <v>0.3079</v>
      </c>
      <c r="K25" s="25" t="n">
        <v>0.2186</v>
      </c>
      <c r="L25" s="24" t="n">
        <v>168</v>
      </c>
      <c r="M25" s="24" t="n">
        <v>88.325175</v>
      </c>
      <c r="N25" s="24" t="n">
        <v>142.89</v>
      </c>
      <c r="O25" t="inlineStr">
        <is>
          <t>hcris_derived_with_state_agency</t>
        </is>
      </c>
      <c r="P25" s="26" t="n">
        <v>0.85</v>
      </c>
    </row>
    <row r="26">
      <c r="A26" t="inlineStr">
        <is>
          <t>050723</t>
        </is>
      </c>
      <c r="B26" t="inlineStr">
        <is>
          <t>KAISER FOUNDATION HOSPITAL - BALDWIN PARK</t>
        </is>
      </c>
      <c r="C26" t="inlineStr">
        <is>
          <t>BALDWIN PARK</t>
        </is>
      </c>
      <c r="D26" t="inlineStr">
        <is>
          <t>CA</t>
        </is>
      </c>
      <c r="E26" t="inlineStr">
        <is>
          <t>LOS ANGELES</t>
        </is>
      </c>
      <c r="F26" t="inlineStr">
        <is>
          <t>Acute Care Hospitals</t>
        </is>
      </c>
      <c r="G26" t="inlineStr">
        <is>
          <t>Voluntary non-profit - Other</t>
        </is>
      </c>
      <c r="H26" s="24" t="n">
        <v>1121</v>
      </c>
      <c r="I26" s="24" t="n">
        <v>97605660</v>
      </c>
      <c r="J26" s="25" t="n">
        <v>0.3733</v>
      </c>
      <c r="K26" s="25" t="n">
        <v>0.1312</v>
      </c>
      <c r="L26" s="24" t="n">
        <v>262.7</v>
      </c>
      <c r="M26" s="24" t="n">
        <v>87.75517500000001</v>
      </c>
      <c r="N26" s="24" t="n">
        <v>142.89</v>
      </c>
      <c r="O26" t="inlineStr">
        <is>
          <t>hcris_derived_with_state_agency</t>
        </is>
      </c>
      <c r="P26" s="26" t="n">
        <v>0.85</v>
      </c>
    </row>
    <row r="27">
      <c r="A27" t="inlineStr">
        <is>
          <t>050748</t>
        </is>
      </c>
      <c r="B27" t="inlineStr">
        <is>
          <t>KAISER FOUNDATION HOSPITAL MANTECA</t>
        </is>
      </c>
      <c r="C27" t="inlineStr">
        <is>
          <t>MANTECA</t>
        </is>
      </c>
      <c r="D27" t="inlineStr">
        <is>
          <t>CA</t>
        </is>
      </c>
      <c r="E27" t="inlineStr">
        <is>
          <t>SAN JOAQUIN</t>
        </is>
      </c>
      <c r="F27" t="inlineStr">
        <is>
          <t>Acute Care Hospitals</t>
        </is>
      </c>
      <c r="G27" t="inlineStr">
        <is>
          <t>Voluntary non-profit - Private</t>
        </is>
      </c>
      <c r="H27" s="24" t="n">
        <v>1304</v>
      </c>
      <c r="I27" s="24" t="n">
        <v>108214498</v>
      </c>
      <c r="J27" s="25" t="n">
        <v>0.3236</v>
      </c>
      <c r="K27" s="25" t="n">
        <v>0.2612</v>
      </c>
      <c r="L27" s="24" t="n">
        <v>291.3</v>
      </c>
      <c r="M27" s="24" t="n">
        <v>88.50517500000001</v>
      </c>
      <c r="N27" s="24" t="n">
        <v>142.89</v>
      </c>
      <c r="O27" t="inlineStr">
        <is>
          <t>hcris_derived_with_state_agency</t>
        </is>
      </c>
      <c r="P27" s="26" t="n">
        <v>0.85</v>
      </c>
    </row>
    <row r="28">
      <c r="A28" t="inlineStr">
        <is>
          <t>050760</t>
        </is>
      </c>
      <c r="B28" t="inlineStr">
        <is>
          <t>KAISER FOUNDATION HOSPITAL - ANTIOCH</t>
        </is>
      </c>
      <c r="C28" t="inlineStr">
        <is>
          <t>ANTIOCH</t>
        </is>
      </c>
      <c r="D28" t="inlineStr">
        <is>
          <t>CA</t>
        </is>
      </c>
      <c r="E28" t="inlineStr">
        <is>
          <t>CONTRA COSTA</t>
        </is>
      </c>
      <c r="F28" t="inlineStr">
        <is>
          <t>Acute Care Hospitals</t>
        </is>
      </c>
      <c r="G28" t="inlineStr">
        <is>
          <t>Voluntary non-profit - Private</t>
        </is>
      </c>
      <c r="H28" s="24" t="n">
        <v>813</v>
      </c>
      <c r="I28" s="24" t="n">
        <v>69529605</v>
      </c>
      <c r="J28" s="25" t="n">
        <v>0.328</v>
      </c>
      <c r="K28" s="25" t="n">
        <v>0.1682</v>
      </c>
      <c r="L28" s="24" t="n">
        <v>187.2</v>
      </c>
      <c r="M28" s="24" t="n">
        <v>88.635175</v>
      </c>
      <c r="N28" s="24" t="n">
        <v>142.89</v>
      </c>
      <c r="O28" t="inlineStr">
        <is>
          <t>hcris_derived_with_state_agency</t>
        </is>
      </c>
      <c r="P28" s="26" t="n">
        <v>0.85</v>
      </c>
    </row>
    <row r="29">
      <c r="A29" t="inlineStr">
        <is>
          <t>050765</t>
        </is>
      </c>
      <c r="B29" t="inlineStr">
        <is>
          <t>KAISER FOUNDATION HOSPITAL-MORENO VALLEY</t>
        </is>
      </c>
      <c r="C29" t="inlineStr">
        <is>
          <t>MORENO VALLEY</t>
        </is>
      </c>
      <c r="D29" t="inlineStr">
        <is>
          <t>CA</t>
        </is>
      </c>
      <c r="E29" t="inlineStr">
        <is>
          <t>RIVERSIDE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436</v>
      </c>
      <c r="I29" s="24" t="n">
        <v>49359055</v>
      </c>
      <c r="J29" s="25" t="n">
        <v>0.4464</v>
      </c>
      <c r="K29" s="25" t="n">
        <v>-0.0121</v>
      </c>
      <c r="L29" s="24" t="n">
        <v>132.9</v>
      </c>
      <c r="M29" s="24" t="n">
        <v>91.355175</v>
      </c>
      <c r="N29" s="24" t="n">
        <v>142.89</v>
      </c>
      <c r="O29" t="inlineStr">
        <is>
          <t>hcris_derived_with_state_agency</t>
        </is>
      </c>
      <c r="P29" s="26" t="n">
        <v>0.85</v>
      </c>
    </row>
    <row r="30">
      <c r="A30" t="inlineStr">
        <is>
          <t>050767</t>
        </is>
      </c>
      <c r="B30" t="inlineStr">
        <is>
          <t>KAISER FOUNDATION HOSPITAL - VACAVILLE</t>
        </is>
      </c>
      <c r="C30" t="inlineStr">
        <is>
          <t>VACAVILLE</t>
        </is>
      </c>
      <c r="D30" t="inlineStr">
        <is>
          <t>CA</t>
        </is>
      </c>
      <c r="E30" t="inlineStr">
        <is>
          <t>SOLANO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792</v>
      </c>
      <c r="I30" s="24" t="n">
        <v>54679290</v>
      </c>
      <c r="J30" s="25" t="n">
        <v>0.2862</v>
      </c>
      <c r="K30" s="25" t="n">
        <v>0.1462</v>
      </c>
      <c r="L30" s="24" t="n">
        <v>147.2</v>
      </c>
      <c r="M30" s="24" t="n">
        <v>88.685175</v>
      </c>
      <c r="N30" s="24" t="n">
        <v>142.89</v>
      </c>
      <c r="O30" t="inlineStr">
        <is>
          <t>hcris_derived_with_state_agency</t>
        </is>
      </c>
      <c r="P30" s="26" t="n">
        <v>0.85</v>
      </c>
    </row>
    <row r="31">
      <c r="A31" t="inlineStr">
        <is>
          <t>050772</t>
        </is>
      </c>
      <c r="B31" t="inlineStr">
        <is>
          <t>KAISER FOUNDATION HOSPITAL - ROSEVILLE</t>
        </is>
      </c>
      <c r="C31" t="inlineStr">
        <is>
          <t>ROSEVILLE</t>
        </is>
      </c>
      <c r="D31" t="inlineStr">
        <is>
          <t>CA</t>
        </is>
      </c>
      <c r="E31" t="inlineStr">
        <is>
          <t>PLACER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2038</v>
      </c>
      <c r="I31" s="24" t="n">
        <v>180921299</v>
      </c>
      <c r="J31" s="25" t="n">
        <v>0.32</v>
      </c>
      <c r="K31" s="25" t="n">
        <v>0.1936</v>
      </c>
      <c r="L31" s="24" t="n">
        <v>487</v>
      </c>
      <c r="M31" s="24" t="n">
        <v>87.995175</v>
      </c>
      <c r="N31" s="24" t="n">
        <v>142.89</v>
      </c>
      <c r="O31" t="inlineStr">
        <is>
          <t>hcris_derived_with_state_agency</t>
        </is>
      </c>
      <c r="P31" s="26" t="n">
        <v>0.85</v>
      </c>
    </row>
    <row r="32">
      <c r="A32" t="inlineStr">
        <is>
          <t>050777</t>
        </is>
      </c>
      <c r="B32" t="inlineStr">
        <is>
          <t>KAISER FOUNDATION HOSPITAL - SAN LEANDRO</t>
        </is>
      </c>
      <c r="C32" t="inlineStr">
        <is>
          <t>SAN LEANDRO</t>
        </is>
      </c>
      <c r="D32" t="inlineStr">
        <is>
          <t>CA</t>
        </is>
      </c>
      <c r="E32" t="inlineStr">
        <is>
          <t>ALAMEDA</t>
        </is>
      </c>
      <c r="F32" t="inlineStr">
        <is>
          <t>Acute Care Hospitals</t>
        </is>
      </c>
      <c r="G32" t="inlineStr">
        <is>
          <t>Voluntary non-profit - Private</t>
        </is>
      </c>
      <c r="H32" s="24" t="n">
        <v>1109</v>
      </c>
      <c r="I32" s="24" t="n">
        <v>94608424</v>
      </c>
      <c r="J32" s="25" t="n">
        <v>0.3081</v>
      </c>
      <c r="K32" s="25" t="n">
        <v>0.1246</v>
      </c>
      <c r="L32" s="24" t="n">
        <v>254.7</v>
      </c>
      <c r="M32" s="24" t="n">
        <v>86.935175</v>
      </c>
      <c r="N32" s="24" t="n">
        <v>142.89</v>
      </c>
      <c r="O32" t="inlineStr">
        <is>
          <t>hcris_derived_with_state_agency</t>
        </is>
      </c>
      <c r="P32" s="26" t="n">
        <v>0.85</v>
      </c>
    </row>
    <row r="33">
      <c r="A33" t="inlineStr">
        <is>
          <t>050855</t>
        </is>
      </c>
      <c r="B33" t="inlineStr">
        <is>
          <t>KAISER FOUNDATION HOSPITAL - SAN MARCOS</t>
        </is>
      </c>
      <c r="C33" t="inlineStr">
        <is>
          <t>SAN MARCOS</t>
        </is>
      </c>
      <c r="D33" t="inlineStr">
        <is>
          <t>CA</t>
        </is>
      </c>
      <c r="E33" t="inlineStr">
        <is>
          <t>SAN DIEGO</t>
        </is>
      </c>
      <c r="F33" t="inlineStr">
        <is>
          <t>Acute Care Hospitals</t>
        </is>
      </c>
      <c r="G33" t="inlineStr">
        <is>
          <t>Voluntary non-profit - Private</t>
        </is>
      </c>
      <c r="H33" t="inlineStr"/>
      <c r="I33" t="inlineStr"/>
      <c r="J33" t="inlineStr"/>
      <c r="K33" t="inlineStr"/>
      <c r="L33" s="24" t="n">
        <v>30</v>
      </c>
      <c r="M33" s="24" t="n">
        <v>90.78517500000001</v>
      </c>
      <c r="N33" s="24" t="n">
        <v>142.89</v>
      </c>
      <c r="O33" t="inlineStr">
        <is>
          <t>state_imputed_with_commonspirit_anchor</t>
        </is>
      </c>
      <c r="P33" s="26" t="n">
        <v>0.6</v>
      </c>
    </row>
    <row r="34">
      <c r="A34" t="inlineStr">
        <is>
          <t>054150</t>
        </is>
      </c>
      <c r="B34" t="inlineStr">
        <is>
          <t>KAISER PERMANENTE PSYCHIATRIC HEALTH FACILITY-SANT</t>
        </is>
      </c>
      <c r="C34" t="inlineStr">
        <is>
          <t>SANTA CLARA</t>
        </is>
      </c>
      <c r="D34" t="inlineStr">
        <is>
          <t>CA</t>
        </is>
      </c>
      <c r="E34" t="inlineStr">
        <is>
          <t>SANTA CLARA</t>
        </is>
      </c>
      <c r="F34" t="inlineStr">
        <is>
          <t>Psychiatric</t>
        </is>
      </c>
      <c r="G34" t="inlineStr">
        <is>
          <t>Proprietary</t>
        </is>
      </c>
      <c r="H34" t="inlineStr"/>
      <c r="I34" t="inlineStr"/>
      <c r="J34" t="inlineStr"/>
      <c r="K34" t="inlineStr"/>
      <c r="L34" s="24" t="n">
        <v>12</v>
      </c>
      <c r="M34" s="24" t="n">
        <v>90.78517500000001</v>
      </c>
      <c r="N34" s="24" t="n">
        <v>142.89</v>
      </c>
      <c r="O34" t="inlineStr">
        <is>
          <t>state_imputed_with_commonspirit_anchor</t>
        </is>
      </c>
      <c r="P34" s="26" t="n">
        <v>0.6</v>
      </c>
    </row>
    <row r="35">
      <c r="A35" t="inlineStr">
        <is>
          <t>120011</t>
        </is>
      </c>
      <c r="B35" t="inlineStr">
        <is>
          <t>KAISER FOUNDATION HOSPITAL</t>
        </is>
      </c>
      <c r="C35" t="inlineStr">
        <is>
          <t>HONOLULU</t>
        </is>
      </c>
      <c r="D35" t="inlineStr">
        <is>
          <t>HI</t>
        </is>
      </c>
      <c r="E35" t="inlineStr">
        <is>
          <t>HONOLULU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1362</v>
      </c>
      <c r="I35" s="24" t="n">
        <v>8805080</v>
      </c>
      <c r="J35" s="25" t="n">
        <v>0.0522</v>
      </c>
      <c r="K35" s="25" t="n">
        <v>0.1467</v>
      </c>
      <c r="L35" s="24" t="n">
        <v>23.9</v>
      </c>
      <c r="M35" s="24" t="n">
        <v>80.91442500000001</v>
      </c>
      <c r="N35" s="24" t="n">
        <v>141.48</v>
      </c>
      <c r="O35" t="inlineStr">
        <is>
          <t>hcris_derived_with_state_agency</t>
        </is>
      </c>
      <c r="P35" s="26" t="n">
        <v>0.85</v>
      </c>
    </row>
    <row r="36">
      <c r="A36" t="inlineStr">
        <is>
          <t>380091</t>
        </is>
      </c>
      <c r="B36" t="inlineStr">
        <is>
          <t>KAISER SUNNYSIDE MEDICAL CENTER</t>
        </is>
      </c>
      <c r="C36" t="inlineStr">
        <is>
          <t>CLACKAMAS</t>
        </is>
      </c>
      <c r="D36" t="inlineStr">
        <is>
          <t>OR</t>
        </is>
      </c>
      <c r="E36" t="inlineStr">
        <is>
          <t>CLACKAMAS</t>
        </is>
      </c>
      <c r="F36" t="inlineStr">
        <is>
          <t>Acute Care Hospitals</t>
        </is>
      </c>
      <c r="G36" t="inlineStr">
        <is>
          <t>Voluntary non-profit - Other</t>
        </is>
      </c>
      <c r="H36" s="24" t="n">
        <v>1720</v>
      </c>
      <c r="I36" s="24" t="n">
        <v>176101593</v>
      </c>
      <c r="J36" s="25" t="n">
        <v>0.4509</v>
      </c>
      <c r="K36" t="inlineStr"/>
      <c r="L36" s="24" t="n">
        <v>418.7</v>
      </c>
      <c r="M36" s="24" t="n">
        <v>72.239525</v>
      </c>
      <c r="N36" s="24" t="n">
        <v>161.785</v>
      </c>
      <c r="O36" t="inlineStr">
        <is>
          <t>hcris_derived_with_state_agency</t>
        </is>
      </c>
      <c r="P36" s="26" t="n">
        <v>0.85</v>
      </c>
    </row>
    <row r="37">
      <c r="A37" t="inlineStr">
        <is>
          <t>380103</t>
        </is>
      </c>
      <c r="B37" t="inlineStr">
        <is>
          <t>KAISER FOUNDATION HOSPITAL WESTSIDE</t>
        </is>
      </c>
      <c r="C37" t="inlineStr">
        <is>
          <t>HILLSBORO</t>
        </is>
      </c>
      <c r="D37" t="inlineStr">
        <is>
          <t>OR</t>
        </is>
      </c>
      <c r="E37" t="inlineStr">
        <is>
          <t>WASHINGTON</t>
        </is>
      </c>
      <c r="F37" t="inlineStr">
        <is>
          <t>Acute Care Hospitals</t>
        </is>
      </c>
      <c r="G37" t="inlineStr">
        <is>
          <t>Voluntary non-profit - Private</t>
        </is>
      </c>
      <c r="H37" s="24" t="n">
        <v>736</v>
      </c>
      <c r="I37" s="24" t="n">
        <v>74371969</v>
      </c>
      <c r="J37" s="25" t="n">
        <v>0.4543</v>
      </c>
      <c r="K37" t="inlineStr"/>
      <c r="L37" s="24" t="n">
        <v>176.8</v>
      </c>
      <c r="M37" s="24" t="n">
        <v>72.24952499999999</v>
      </c>
      <c r="N37" s="24" t="n">
        <v>161.785</v>
      </c>
      <c r="O37" t="inlineStr">
        <is>
          <t>hcris_derived_with_state_agency</t>
        </is>
      </c>
      <c r="P37" s="26" t="n">
        <v>0.85</v>
      </c>
    </row>
    <row r="38">
      <c r="A38" t="inlineStr">
        <is>
          <t>451364</t>
        </is>
      </c>
      <c r="B38" t="inlineStr">
        <is>
          <t>OTTO KAISER MEMORIAL HOSPITAL</t>
        </is>
      </c>
      <c r="C38" t="inlineStr">
        <is>
          <t>KENEDY</t>
        </is>
      </c>
      <c r="D38" t="inlineStr">
        <is>
          <t>TX</t>
        </is>
      </c>
      <c r="E38" t="inlineStr">
        <is>
          <t>KARNES</t>
        </is>
      </c>
      <c r="F38" t="inlineStr">
        <is>
          <t>Critical Access Hospitals</t>
        </is>
      </c>
      <c r="G38" t="inlineStr">
        <is>
          <t>Government - Hospital District or Authority</t>
        </is>
      </c>
      <c r="H38" s="24" t="n">
        <v>146</v>
      </c>
      <c r="I38" t="inlineStr"/>
      <c r="J38" t="inlineStr"/>
      <c r="K38" s="25" t="n">
        <v>-0.1706</v>
      </c>
      <c r="L38" s="24" t="n">
        <v>39.5</v>
      </c>
      <c r="M38" s="24" t="n">
        <v>60.629825</v>
      </c>
      <c r="N38" s="24" t="n">
        <v>108.21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500052</t>
        </is>
      </c>
      <c r="B39" t="inlineStr">
        <is>
          <t>KAISER PERMANENTE CENTRAL HOSPITAL</t>
        </is>
      </c>
      <c r="C39" t="inlineStr">
        <is>
          <t>SEATTLE</t>
        </is>
      </c>
      <c r="D39" t="inlineStr">
        <is>
          <t>WA</t>
        </is>
      </c>
      <c r="E39" t="inlineStr">
        <is>
          <t>KING</t>
        </is>
      </c>
      <c r="F39" t="inlineStr">
        <is>
          <t>Acute Care Hospitals</t>
        </is>
      </c>
      <c r="G39" t="inlineStr">
        <is>
          <t>Voluntary non-profit - Other</t>
        </is>
      </c>
      <c r="H39" s="24" t="n">
        <v>391</v>
      </c>
      <c r="I39" t="inlineStr"/>
      <c r="J39" t="inlineStr"/>
      <c r="K39" s="25" t="n">
        <v>-183761798</v>
      </c>
      <c r="L39" s="24" t="n">
        <v>105.5</v>
      </c>
      <c r="M39" s="24" t="n">
        <v>69.766525</v>
      </c>
      <c r="N39" s="24" t="n">
        <v>160.2</v>
      </c>
      <c r="O39" t="inlineStr">
        <is>
          <t>hcris_derived_with_state_agency</t>
        </is>
      </c>
      <c r="P39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Permanente</t>
        </is>
      </c>
    </row>
    <row r="4">
      <c r="A4" s="6" t="inlineStr">
        <is>
          <t>Scope</t>
        </is>
      </c>
      <c r="B4" s="29" t="inlineStr">
        <is>
          <t>38 hospitals in 5 states (CA, HI, OR, TX, WA)</t>
        </is>
      </c>
    </row>
    <row r="5">
      <c r="A5" s="6" t="inlineStr">
        <is>
          <t>Generated at</t>
        </is>
      </c>
      <c r="B5" s="29" t="inlineStr">
        <is>
          <t>2026-05-28T00:55:21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2026-05-28T07:55:21Z</dcterms:created>
  <dcterms:modified xsi:type="dcterms:W3CDTF">2026-05-28T07:55:21Z</dcterms:modified>
</cp:coreProperties>
</file>